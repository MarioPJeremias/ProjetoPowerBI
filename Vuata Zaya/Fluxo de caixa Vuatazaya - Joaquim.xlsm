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joaqu\Documents\CUrso Analise de dados\trabalho Ladislau\"/>
    </mc:Choice>
  </mc:AlternateContent>
  <xr:revisionPtr revIDLastSave="0" documentId="13_ncr:1_{14CECE97-0D1A-41D9-86DA-27BA72658150}" xr6:coauthVersionLast="47" xr6:coauthVersionMax="47" xr10:uidLastSave="{00000000-0000-0000-0000-000000000000}"/>
  <bookViews>
    <workbookView xWindow="-108" yWindow="-108" windowWidth="23256" windowHeight="13176" tabRatio="664" firstSheet="2" activeTab="8" xr2:uid="{00000000-000D-0000-FFFF-FFFF00000000}"/>
  </bookViews>
  <sheets>
    <sheet name="ValDados" sheetId="12" state="hidden" r:id="rId1"/>
    <sheet name="Fluxo de Movimentos" sheetId="9" r:id="rId2"/>
    <sheet name="TD" sheetId="16" r:id="rId3"/>
    <sheet name="Dash" sheetId="17" r:id="rId4"/>
    <sheet name="Vendas" sheetId="2" r:id="rId5"/>
    <sheet name="Stock Dinâmico" sheetId="11" r:id="rId6"/>
    <sheet name="Stock Atualizado" sheetId="4" r:id="rId7"/>
    <sheet name="Finanças" sheetId="3" r:id="rId8"/>
    <sheet name="MENU" sheetId="6" r:id="rId9"/>
    <sheet name="BD" sheetId="13" state="hidden" r:id="rId10"/>
    <sheet name="DASHBOR" sheetId="15" r:id="rId11"/>
  </sheets>
  <definedNames>
    <definedName name="_xlnm._FilterDatabase" localSheetId="5" hidden="1">'Stock Dinâmico'!$A$1:$C$20</definedName>
    <definedName name="SegmentaçãoDeDados_Cor">#N/A</definedName>
    <definedName name="SegmentaçãoDeDados_Meses__Data">#N/A</definedName>
    <definedName name="SegmentaçãoDeDados_Tamanho">#N/A</definedName>
    <definedName name="Slicer_Cor">#N/A</definedName>
  </definedNames>
  <calcPr calcId="191028"/>
  <pivotCaches>
    <pivotCache cacheId="0" r:id="rId12"/>
    <pivotCache cacheId="1" r:id="rId13"/>
    <pivotCache cacheId="2" r:id="rId14"/>
    <pivotCache cacheId="3" r:id="rId15"/>
    <pivotCache cacheId="4" r:id="rId16"/>
    <pivotCache cacheId="44" r:id="rId17"/>
    <pivotCache cacheId="47" r:id="rId18"/>
    <pivotCache cacheId="50" r:id="rId19"/>
    <pivotCache cacheId="53" r:id="rId20"/>
    <pivotCache cacheId="56" r:id="rId21"/>
    <pivotCache cacheId="59" r:id="rId22"/>
    <pivotCache cacheId="62" r:id="rId23"/>
    <pivotCache cacheId="65" r:id="rId24"/>
    <pivotCache cacheId="68" r:id="rId25"/>
  </pivotCaches>
  <extLst>
    <ext xmlns:x14="http://schemas.microsoft.com/office/spreadsheetml/2009/9/main" uri="{876F7934-8845-4945-9796-88D515C7AA90}">
      <x14:pivotCaches>
        <pivotCache cacheId="14" r:id="rId26"/>
      </x14:pivotCaches>
    </ext>
    <ext xmlns:x14="http://schemas.microsoft.com/office/spreadsheetml/2009/9/main" uri="{BBE1A952-AA13-448e-AADC-164F8A28A991}">
      <x14:slicerCaches>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ndas_6e86af33-03b3-4074-b4dd-f1446fab86a3" name="Vendas" connection="Query - Vendas"/>
          <x15:modelTable id="Finanças_01a5e1cf-73bd-499f-bb4e-e4a513c0cc38" name="Finanças" connection="Query - Finanças"/>
          <x15:modelTable id="stock_3e925230-1087-4132-9046-612bed1a6c96" name="stock" connection="Query - stock"/>
          <x15:modelTable id="cor_2cce9170-1fd9-4c6f-b565-86a096baaf3f" name="cor" connection="Query - cor"/>
          <x15:modelTable id="Tamanho_ef63b8e1-3960-4067-a951-82feec1c3eec" name="Tamanho" connection="Query - Tamanho"/>
          <x15:modelTable id="StockCrescente_862e0aed-dbba-4c46-ad01-b8a74410e25c" name="StockCrescente" connection="Query - StockCrescente"/>
        </x15:modelTables>
        <x15:modelRelationships>
          <x15:modelRelationship fromTable="Vendas" fromColumn="Tamanho" toTable="Tamanho" toColumn="Tamnho"/>
          <x15:modelRelationship fromTable="Vendas" fromColumn="Cor" toTable="cor" toColumn="Cor"/>
          <x15:modelRelationship fromTable="stock" fromColumn="Cor" toTable="cor" toColumn="Cor"/>
          <x15:modelRelationship fromTable="stock" fromColumn="Tamanho" toTable="Tamanho" toColumn="Tamnho"/>
          <x15:modelRelationship fromTable="StockCrescente" fromColumn="Cor" toTable="cor" toColumn="Cor"/>
        </x15:modelRelationships>
        <x15:extLst>
          <ext xmlns:x16="http://schemas.microsoft.com/office/spreadsheetml/2014/11/main" uri="{9835A34E-60A6-4A7C-AAB8-D5F71C897F49}">
            <x16:modelTimeGroupings>
              <x16:modelTimeGrouping tableName="Finanças" columnName="Data" columnId="Data">
                <x16:calculatedTimeColumn columnName="Data (Month Index)" columnId="Data (Month Index)" contentType="monthsindex" isSelected="1"/>
                <x16:calculatedTimeColumn columnName="Data (Month)" columnId="Data (Month)" contentType="months" isSelected="1"/>
              </x16:modelTimeGrouping>
              <x16:modelTimeGrouping tableName="Vendas" columnName="Data" columnId="Data">
                <x16:calculatedTimeColumn columnName="Data (Month Index)" columnId="Data (Month Index)" contentType="monthsindex" isSelected="1"/>
                <x16:calculatedTimeColumn columnName="Data (Month)" columnId="Dat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2" l="1"/>
  <c r="F3" i="2"/>
  <c r="S18" i="13"/>
  <c r="D14" i="16"/>
  <c r="A66" i="16"/>
  <c r="D18" i="16"/>
  <c r="A74" i="16"/>
  <c r="A70" i="16"/>
  <c r="F4" i="2" l="1"/>
  <c r="F5" i="2"/>
  <c r="F6" i="2" l="1"/>
  <c r="F7" i="2"/>
  <c r="F8" i="2"/>
  <c r="F9" i="2"/>
  <c r="F10" i="2"/>
  <c r="F11" i="2"/>
  <c r="F12" i="2"/>
  <c r="F13" i="2"/>
  <c r="F14" i="2"/>
  <c r="F15" i="2"/>
  <c r="E1" i="9"/>
  <c r="B3" i="4"/>
  <c r="C3" i="4"/>
  <c r="D3" i="4"/>
  <c r="E3" i="4"/>
  <c r="F3" i="4"/>
  <c r="G3" i="4"/>
  <c r="B4" i="4"/>
  <c r="C4" i="4"/>
  <c r="D4" i="4"/>
  <c r="E4" i="4"/>
  <c r="F4" i="4"/>
  <c r="G4" i="4"/>
  <c r="B5" i="4"/>
  <c r="C5" i="4"/>
  <c r="D5" i="4"/>
  <c r="E5" i="4"/>
  <c r="F5" i="4"/>
  <c r="G5" i="4"/>
  <c r="B6" i="4"/>
  <c r="C6" i="4"/>
  <c r="D6" i="4"/>
  <c r="E6" i="4"/>
  <c r="F6" i="4"/>
  <c r="G6" i="4"/>
  <c r="C2" i="4"/>
  <c r="D2" i="4"/>
  <c r="E2" i="4"/>
  <c r="F2" i="4"/>
  <c r="G2" i="4"/>
  <c r="B2" i="4"/>
  <c r="C7" i="4" l="1"/>
  <c r="B7" i="4"/>
  <c r="G7" i="4"/>
  <c r="E7" i="4"/>
  <c r="F7" i="4"/>
  <c r="H3" i="4"/>
  <c r="H4" i="4"/>
  <c r="H5" i="4"/>
  <c r="H6" i="4"/>
  <c r="D7" i="4"/>
  <c r="H2" i="4"/>
  <c r="H7"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269C88F-46FB-40C1-95AB-6ABCB3DDB100}" name="Query - cor" description="Connection to the 'cor' query in the workbook." type="100" refreshedVersion="8" minRefreshableVersion="5">
    <extLst>
      <ext xmlns:x15="http://schemas.microsoft.com/office/spreadsheetml/2010/11/main" uri="{DE250136-89BD-433C-8126-D09CA5730AF9}">
        <x15:connection id="14cc6e01-186c-4938-94d9-6265cf2b8e74"/>
      </ext>
    </extLst>
  </connection>
  <connection id="2" xr16:uid="{A022D32D-04CA-4516-8DF0-508BABE39373}" name="Query - Finanças" description="Connection to the 'Finanças' query in the workbook." type="100" refreshedVersion="8" minRefreshableVersion="5">
    <extLst>
      <ext xmlns:x15="http://schemas.microsoft.com/office/spreadsheetml/2010/11/main" uri="{DE250136-89BD-433C-8126-D09CA5730AF9}">
        <x15:connection id="ebe34c21-8a92-47c8-ad0c-89ad3a666923"/>
      </ext>
    </extLst>
  </connection>
  <connection id="3" xr16:uid="{A2406293-CB59-4691-998F-CB901916DD66}" name="Query - stock" description="Connection to the 'stock' query in the workbook." type="100" refreshedVersion="8" minRefreshableVersion="5">
    <extLst>
      <ext xmlns:x15="http://schemas.microsoft.com/office/spreadsheetml/2010/11/main" uri="{DE250136-89BD-433C-8126-D09CA5730AF9}">
        <x15:connection id="d7552912-828f-4849-a946-07cd422838a6"/>
      </ext>
    </extLst>
  </connection>
  <connection id="4" xr16:uid="{559EC646-4749-4343-84C4-5D4411D2BA97}" name="Query - StockCrescente" description="Connection to the 'StockCrescente' query in the workbook." type="100" refreshedVersion="8" minRefreshableVersion="5">
    <extLst>
      <ext xmlns:x15="http://schemas.microsoft.com/office/spreadsheetml/2010/11/main" uri="{DE250136-89BD-433C-8126-D09CA5730AF9}">
        <x15:connection id="647ac6ae-a7a3-4c4e-85e2-ded999500a03"/>
      </ext>
    </extLst>
  </connection>
  <connection id="5" xr16:uid="{01EA7ED6-C1F2-46B0-AA4A-60034C704F30}" name="Query - Tamanho" description="Connection to the 'Tamanho' query in the workbook." type="100" refreshedVersion="8" minRefreshableVersion="5">
    <extLst>
      <ext xmlns:x15="http://schemas.microsoft.com/office/spreadsheetml/2010/11/main" uri="{DE250136-89BD-433C-8126-D09CA5730AF9}">
        <x15:connection id="0bc8c7c3-e6ba-464c-970b-224ceb3110d3"/>
      </ext>
    </extLst>
  </connection>
  <connection id="6" xr16:uid="{99F91EDD-C5B6-40A0-94BA-1118837E332A}" name="Query - Vendas" description="Connection to the 'Vendas' query in the workbook." type="100" refreshedVersion="8" minRefreshableVersion="5">
    <extLst>
      <ext xmlns:x15="http://schemas.microsoft.com/office/spreadsheetml/2010/11/main" uri="{DE250136-89BD-433C-8126-D09CA5730AF9}">
        <x15:connection id="9eafe65d-aa49-4ec8-8c6a-0e672f67d257"/>
      </ext>
    </extLst>
  </connection>
  <connection id="7" xr16:uid="{A9E992F7-E960-4A4D-92FE-2F9CA45DA63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<sst xmlns="http://schemas.openxmlformats.org/spreadsheetml/2006/main" count="233" uniqueCount="59">
  <si>
    <t>Cor</t>
  </si>
  <si>
    <t>Preta</t>
  </si>
  <si>
    <t>Branca</t>
  </si>
  <si>
    <t>Azul</t>
  </si>
  <si>
    <t>Cinza</t>
  </si>
  <si>
    <t>Castanha</t>
  </si>
  <si>
    <t>Tamnho</t>
  </si>
  <si>
    <t>S</t>
  </si>
  <si>
    <t>M</t>
  </si>
  <si>
    <t>L</t>
  </si>
  <si>
    <t>XL</t>
  </si>
  <si>
    <t>2XL</t>
  </si>
  <si>
    <t>3XL</t>
  </si>
  <si>
    <t>VUATA ZAYA</t>
  </si>
  <si>
    <t>Lucro:</t>
  </si>
  <si>
    <t>Data</t>
  </si>
  <si>
    <t>Tamanho</t>
  </si>
  <si>
    <t>Qtde</t>
  </si>
  <si>
    <t>Preço Unitário</t>
  </si>
  <si>
    <t>Descrição</t>
  </si>
  <si>
    <t>Caracter</t>
  </si>
  <si>
    <t>Valor</t>
  </si>
  <si>
    <t>Total Venda</t>
  </si>
  <si>
    <t>Total Atual</t>
  </si>
  <si>
    <t>Total Geral</t>
  </si>
  <si>
    <t>Categoria</t>
  </si>
  <si>
    <t>Taxi</t>
  </si>
  <si>
    <t>Saída</t>
  </si>
  <si>
    <t>T-shirt S</t>
  </si>
  <si>
    <t>Gráfica</t>
  </si>
  <si>
    <t>Venda de T-shirt</t>
  </si>
  <si>
    <t>Entrada</t>
  </si>
  <si>
    <t>T-shirt</t>
  </si>
  <si>
    <t>T-Shirts</t>
  </si>
  <si>
    <t>TAXI</t>
  </si>
  <si>
    <t>Prodção Grafica</t>
  </si>
  <si>
    <t>Rótulos de Linha</t>
  </si>
  <si>
    <t>Soma de Valor</t>
  </si>
  <si>
    <t>Soma de Qtde</t>
  </si>
  <si>
    <t>Soma de Total Venda</t>
  </si>
  <si>
    <t>(em branco)</t>
  </si>
  <si>
    <t>Row Labels</t>
  </si>
  <si>
    <t>Grand Total</t>
  </si>
  <si>
    <t>Total</t>
  </si>
  <si>
    <t>qtdTotalVendida</t>
  </si>
  <si>
    <t>Lucro</t>
  </si>
  <si>
    <t>Margen de Lucro</t>
  </si>
  <si>
    <t>T-Shirt</t>
  </si>
  <si>
    <t>T-Shirt S</t>
  </si>
  <si>
    <t>Venda De T-Shirt</t>
  </si>
  <si>
    <t>Sum of Valor</t>
  </si>
  <si>
    <t>set</t>
  </si>
  <si>
    <t>out</t>
  </si>
  <si>
    <t>Sum of Qtd</t>
  </si>
  <si>
    <t>Sum of Qtde</t>
  </si>
  <si>
    <t>Id</t>
  </si>
  <si>
    <t>StockDisponivel</t>
  </si>
  <si>
    <t>Comprado Stock</t>
  </si>
  <si>
    <t>Rótulos de Coluna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</si>
</sst>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5" formatCode="#,##0\ &quot;€&quot;;\-#,##0\ &quot;€&quot;"/>
    <numFmt numFmtId="164" formatCode="_-* #,##0.00\ &quot;Kz&quot;_-;\-* #,##0.00\ &quot;Kz&quot;_-;_-* &quot;-&quot;??\ &quot;Kz&quot;_-;_-@_-"/>
    <numFmt numFmtId="165" formatCode="_-* #,##0.00\ [$Kz]_-;\-* #,##0.00\ [$Kz]_-;_-* &quot;-&quot;??\ [$Kz]_-;_-@_-" x16r2:formatCode16="_-* #,##0.00\ [$Kz-pt-AO]_-;\-* #,##0.00\ [$Kz-pt-AO]_-;_-* &quot;-&quot;??\ [$Kz-pt-AO]_-;_-@_-"/>
  </numFmts>
  <fonts count="14" x14ac:knownFonts="1">
    <font>
      <sz val="11"/>
      <color theme="1"/>
      <name val="Calibri"/>
      <family val="2"/>
      <scheme val="minor"/>
    </font>
    <font>
      <sz val="11"/>
      <color theme="1"/>
      <name val="Calibri"/>
      <family val="2"/>
      <scheme val="minor"/>
    </font>
    <font>
      <sz val="20"/>
      <color theme="1"/>
      <name val="Calibri"/>
      <family val="2"/>
      <scheme val="minor"/>
    </font>
    <font>
      <b/>
      <sz val="12"/>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2"/>
      <color theme="1"/>
      <name val="Calibri"/>
      <family val="2"/>
      <scheme val="minor"/>
    </font>
    <font>
      <b/>
      <sz val="14"/>
      <color theme="0"/>
      <name val="Calibri"/>
      <family val="2"/>
      <scheme val="minor"/>
    </font>
    <font>
      <b/>
      <sz val="22"/>
      <color theme="2" tint="-0.499984740745262"/>
      <name val="Aharoni"/>
      <charset val="177"/>
    </font>
    <font>
      <b/>
      <sz val="20"/>
      <color theme="2" tint="-0.499984740745262"/>
      <name val="Aharoni"/>
      <charset val="177"/>
    </font>
    <font>
      <sz val="11"/>
      <color theme="0"/>
      <name val="Calibri"/>
      <family val="2"/>
      <scheme val="minor"/>
    </font>
    <font>
      <b/>
      <sz val="22"/>
      <color theme="0"/>
      <name val="Aharoni"/>
      <charset val="177"/>
    </font>
  </fonts>
  <fills count="13">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1" tint="0.249977111117893"/>
        <bgColor indexed="64"/>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59999389629810485"/>
        <bgColor indexed="64"/>
      </patternFill>
    </fill>
    <fill>
      <patternFill patternType="solid">
        <fgColor rgb="FF28394D"/>
        <bgColor indexed="64"/>
      </patternFill>
    </fill>
  </fills>
  <borders count="19">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0"/>
      </left>
      <right/>
      <top/>
      <bottom style="thick">
        <color theme="0"/>
      </bottom>
      <diagonal/>
    </border>
    <border>
      <left/>
      <right style="thin">
        <color theme="0"/>
      </right>
      <top style="thin">
        <color theme="0"/>
      </top>
      <bottom style="thick">
        <color theme="0"/>
      </bottom>
      <diagonal/>
    </border>
    <border>
      <left style="thin">
        <color theme="0"/>
      </left>
      <right style="thin">
        <color theme="0"/>
      </right>
      <top style="thin">
        <color theme="0"/>
      </top>
      <bottom style="thick">
        <color theme="0"/>
      </bottom>
      <diagonal/>
    </border>
    <border>
      <left style="thin">
        <color theme="0"/>
      </left>
      <right style="thin">
        <color theme="0"/>
      </right>
      <top style="thin">
        <color theme="0"/>
      </top>
      <bottom/>
      <diagonal/>
    </border>
    <border>
      <left style="thin">
        <color theme="9" tint="0.39997558519241921"/>
      </left>
      <right/>
      <top/>
      <bottom/>
      <diagonal/>
    </border>
    <border>
      <left/>
      <right style="thin">
        <color theme="9" tint="0.39997558519241921"/>
      </right>
      <top/>
      <bottom/>
      <diagonal/>
    </border>
  </borders>
  <cellStyleXfs count="4">
    <xf numFmtId="0" fontId="0" fillId="0" borderId="0"/>
    <xf numFmtId="164" fontId="1" fillId="0" borderId="0" applyFont="0" applyFill="0" applyBorder="0" applyAlignment="0" applyProtection="0"/>
    <xf numFmtId="0" fontId="4" fillId="2" borderId="0" applyNumberFormat="0" applyBorder="0" applyAlignment="0" applyProtection="0"/>
    <xf numFmtId="9" fontId="1" fillId="0" borderId="0" applyFont="0" applyFill="0" applyBorder="0" applyAlignment="0" applyProtection="0"/>
  </cellStyleXfs>
  <cellXfs count="62">
    <xf numFmtId="0" fontId="0" fillId="0" borderId="0" xfId="0"/>
    <xf numFmtId="14" fontId="0" fillId="0" borderId="0" xfId="0" applyNumberFormat="1"/>
    <xf numFmtId="0" fontId="2" fillId="0" borderId="0" xfId="0" applyFont="1"/>
    <xf numFmtId="0" fontId="5" fillId="3" borderId="0" xfId="0" applyFont="1" applyFill="1"/>
    <xf numFmtId="0" fontId="5" fillId="3" borderId="6" xfId="0" applyFont="1" applyFill="1" applyBorder="1"/>
    <xf numFmtId="0" fontId="0" fillId="4" borderId="7" xfId="0" applyFill="1" applyBorder="1"/>
    <xf numFmtId="0" fontId="0" fillId="4" borderId="8" xfId="0" applyFill="1" applyBorder="1"/>
    <xf numFmtId="0" fontId="0" fillId="5" borderId="9" xfId="0" applyFill="1" applyBorder="1"/>
    <xf numFmtId="0" fontId="0" fillId="4" borderId="9" xfId="0" applyFill="1" applyBorder="1"/>
    <xf numFmtId="0" fontId="4" fillId="2" borderId="0" xfId="2"/>
    <xf numFmtId="0" fontId="0" fillId="8" borderId="0" xfId="0" applyFill="1"/>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6" fillId="4" borderId="8" xfId="0" applyFont="1" applyFill="1" applyBorder="1" applyAlignment="1">
      <alignment horizontal="center"/>
    </xf>
    <xf numFmtId="0" fontId="6" fillId="5" borderId="5" xfId="0" applyFont="1" applyFill="1" applyBorder="1" applyAlignment="1">
      <alignment horizontal="center"/>
    </xf>
    <xf numFmtId="0" fontId="6" fillId="4" borderId="5" xfId="0" applyFont="1" applyFill="1" applyBorder="1" applyAlignment="1">
      <alignment horizontal="center"/>
    </xf>
    <xf numFmtId="0" fontId="6" fillId="4" borderId="5"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15" xfId="0" applyFont="1" applyFill="1" applyBorder="1" applyAlignment="1">
      <alignment horizontal="center" vertical="center"/>
    </xf>
    <xf numFmtId="0" fontId="9" fillId="9" borderId="1" xfId="0" applyFont="1" applyFill="1" applyBorder="1" applyAlignment="1">
      <alignment horizontal="center" vertical="center"/>
    </xf>
    <xf numFmtId="0" fontId="9" fillId="9" borderId="2" xfId="0" applyFont="1" applyFill="1" applyBorder="1" applyAlignment="1">
      <alignment horizontal="center" vertical="center"/>
    </xf>
    <xf numFmtId="0" fontId="9" fillId="9" borderId="13" xfId="0" applyFont="1" applyFill="1" applyBorder="1" applyAlignment="1">
      <alignment horizontal="center" vertical="center"/>
    </xf>
    <xf numFmtId="0" fontId="9" fillId="6" borderId="10" xfId="0" applyFont="1" applyFill="1" applyBorder="1" applyAlignment="1">
      <alignment horizontal="center" vertical="center"/>
    </xf>
    <xf numFmtId="0" fontId="9" fillId="6" borderId="11" xfId="0" applyFont="1" applyFill="1" applyBorder="1" applyAlignment="1">
      <alignment horizontal="center" vertical="center"/>
    </xf>
    <xf numFmtId="0" fontId="9" fillId="6" borderId="12" xfId="0" applyFont="1" applyFill="1" applyBorder="1" applyAlignment="1">
      <alignment horizontal="center" vertical="center"/>
    </xf>
    <xf numFmtId="0" fontId="8" fillId="10" borderId="4" xfId="0" applyFont="1" applyFill="1" applyBorder="1" applyAlignment="1">
      <alignment horizontal="center" vertical="center"/>
    </xf>
    <xf numFmtId="0" fontId="8" fillId="10" borderId="16" xfId="0" applyFont="1" applyFill="1" applyBorder="1" applyAlignment="1">
      <alignment horizontal="center" vertical="center"/>
    </xf>
    <xf numFmtId="14" fontId="8" fillId="4" borderId="3" xfId="0" applyNumberFormat="1" applyFont="1" applyFill="1" applyBorder="1" applyAlignment="1">
      <alignment horizontal="center" vertical="center"/>
    </xf>
    <xf numFmtId="0" fontId="8" fillId="4" borderId="4" xfId="0" applyFont="1" applyFill="1" applyBorder="1" applyAlignment="1">
      <alignment horizontal="center" vertical="center"/>
    </xf>
    <xf numFmtId="164" fontId="8" fillId="4" borderId="4" xfId="1" applyFont="1" applyFill="1" applyBorder="1" applyAlignment="1">
      <alignment horizontal="center" vertical="center"/>
    </xf>
    <xf numFmtId="0" fontId="8" fillId="0" borderId="0" xfId="0" applyFont="1"/>
    <xf numFmtId="0" fontId="8" fillId="7" borderId="10" xfId="0" applyFont="1" applyFill="1" applyBorder="1" applyAlignment="1">
      <alignment horizontal="center" vertical="center"/>
    </xf>
    <xf numFmtId="0" fontId="8" fillId="7" borderId="11" xfId="0" applyFont="1" applyFill="1" applyBorder="1" applyAlignment="1">
      <alignment horizontal="center" vertical="center"/>
    </xf>
    <xf numFmtId="0" fontId="8" fillId="7" borderId="12" xfId="0" applyFont="1" applyFill="1" applyBorder="1" applyAlignment="1">
      <alignment horizontal="center" vertical="center"/>
    </xf>
    <xf numFmtId="14" fontId="8" fillId="10" borderId="3" xfId="0" applyNumberFormat="1" applyFont="1" applyFill="1" applyBorder="1" applyAlignment="1">
      <alignment horizontal="center" vertical="center"/>
    </xf>
    <xf numFmtId="164" fontId="8" fillId="10" borderId="5" xfId="1" applyFont="1" applyFill="1" applyBorder="1" applyAlignment="1">
      <alignment horizontal="center"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164" fontId="8" fillId="0" borderId="0" xfId="1" applyFont="1" applyAlignment="1">
      <alignment horizontal="center" vertical="center"/>
    </xf>
    <xf numFmtId="0" fontId="10" fillId="0" borderId="0" xfId="0" applyFont="1" applyAlignment="1">
      <alignment horizontal="left"/>
    </xf>
    <xf numFmtId="0" fontId="11" fillId="0" borderId="0" xfId="0" applyFont="1" applyAlignment="1">
      <alignment horizontal="left"/>
    </xf>
    <xf numFmtId="165" fontId="3" fillId="0" borderId="0" xfId="0" applyNumberFormat="1" applyFont="1" applyAlignment="1">
      <alignment horizontal="center" vertical="center"/>
    </xf>
    <xf numFmtId="0" fontId="9" fillId="9" borderId="0" xfId="0" applyFont="1" applyFill="1" applyAlignment="1">
      <alignment horizontal="center" vertical="center"/>
    </xf>
    <xf numFmtId="0" fontId="0" fillId="11"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0" fontId="0" fillId="0" borderId="0" xfId="0" applyNumberFormat="1"/>
    <xf numFmtId="0" fontId="5" fillId="6" borderId="0" xfId="0" applyFont="1" applyFill="1"/>
    <xf numFmtId="0" fontId="8" fillId="7" borderId="17" xfId="0" applyFont="1" applyFill="1" applyBorder="1" applyAlignment="1">
      <alignment horizontal="center" vertical="center"/>
    </xf>
    <xf numFmtId="0" fontId="8" fillId="7" borderId="0" xfId="0" applyFont="1" applyFill="1" applyAlignment="1">
      <alignment horizontal="center" vertical="center"/>
    </xf>
    <xf numFmtId="0" fontId="8" fillId="7" borderId="18" xfId="0" applyFont="1" applyFill="1" applyBorder="1" applyAlignment="1">
      <alignment horizontal="center" vertical="center"/>
    </xf>
    <xf numFmtId="10" fontId="0" fillId="0" borderId="0" xfId="3" applyNumberFormat="1" applyFont="1"/>
    <xf numFmtId="5" fontId="0" fillId="0" borderId="0" xfId="0" applyNumberFormat="1"/>
    <xf numFmtId="5" fontId="0" fillId="0" borderId="0" xfId="1" applyNumberFormat="1" applyFont="1"/>
    <xf numFmtId="0" fontId="13" fillId="12" borderId="0" xfId="0" applyFont="1" applyFill="1" applyAlignment="1">
      <alignment horizontal="left"/>
    </xf>
    <xf numFmtId="0" fontId="12" fillId="12" borderId="0" xfId="0" applyFont="1" applyFill="1"/>
    <xf numFmtId="10" fontId="12" fillId="12" borderId="0" xfId="3" applyNumberFormat="1" applyFont="1" applyFill="1"/>
    <xf numFmtId="0" fontId="3" fillId="0" borderId="0" xfId="0" applyFont="1" applyAlignment="1">
      <alignment horizontal="center" vertical="top"/>
    </xf>
    <xf numFmtId="0" fontId="0" fillId="0" borderId="0" xfId="0" applyNumberFormat="1"/>
  </cellXfs>
  <cellStyles count="4">
    <cellStyle name="Correto" xfId="2" builtinId="26"/>
    <cellStyle name="Moeda" xfId="1" builtinId="4"/>
    <cellStyle name="Normal" xfId="0" builtinId="0"/>
    <cellStyle name="Percentagem" xfId="3" builtinId="5"/>
  </cellStyles>
  <dxfs count="45">
    <dxf>
      <numFmt numFmtId="14" formatCode="0.00%"/>
    </dxf>
    <dxf>
      <numFmt numFmtId="9" formatCode="#,##0\ &quot;€&quot;;\-#,##0\ &quot;€&quot;"/>
    </dxf>
    <dxf>
      <numFmt numFmtId="9" formatCode="#,##0\ &quot;€&quot;;\-#,##0\ &quot;€&quot;"/>
    </dxf>
    <dxf>
      <numFmt numFmtId="9" formatCode="#,##0\ &quot;€&quot;;\-#,##0\ &quot;€&quot;"/>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right/>
        <top style="thin">
          <color theme="0"/>
        </top>
        <bottom/>
        <vertical/>
        <horizontal/>
      </border>
    </dxf>
    <dxf>
      <fill>
        <patternFill patternType="solid">
          <fgColor theme="4" tint="0.59999389629810485"/>
          <bgColor theme="4" tint="0.59999389629810485"/>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val="0"/>
        <i val="0"/>
        <strike val="0"/>
        <condense val="0"/>
        <extend val="0"/>
        <outline val="0"/>
        <shadow val="0"/>
        <u val="none"/>
        <vertAlign val="baseline"/>
        <sz val="12"/>
        <color theme="1"/>
        <name val="Calibri"/>
        <family val="2"/>
        <scheme val="minor"/>
      </font>
      <numFmt numFmtId="164" formatCode="_-* #,##0.00\ &quot;Kz&quot;_-;\-* #,##0.00\ &quot;Kz&quot;_-;_-* &quot;-&quot;??\ &quot;Kz&quot;_-;_-@_-"/>
      <fill>
        <patternFill patternType="solid">
          <fgColor theme="4" tint="0.59999389629810485"/>
          <bgColor theme="4" tint="0.59999389629810485"/>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19" formatCode="dd/mm/yyyy"/>
    </dxf>
    <dxf>
      <font>
        <strike val="0"/>
        <outline val="0"/>
        <shadow val="0"/>
        <u val="none"/>
        <vertAlign val="baseline"/>
        <sz val="12"/>
        <color theme="1"/>
        <name val="Calibri"/>
        <family val="2"/>
        <scheme val="minor"/>
      </font>
    </dxf>
    <dxf>
      <numFmt numFmtId="9" formatCode="#,##0\ &quot;€&quot;;\-#,##0\ &quot;€&quot;"/>
    </dxf>
    <dxf>
      <numFmt numFmtId="14" formatCode="0.00%"/>
    </dxf>
    <dxf>
      <numFmt numFmtId="9" formatCode="#,##0\ &quot;€&quot;;\-#,##0\ &quot;€&quot;"/>
    </dxf>
    <dxf>
      <numFmt numFmtId="9" formatCode="#,##0\ &quot;€&quot;;\-#,##0\ &quot;€&quot;"/>
    </dxf>
    <dxf>
      <numFmt numFmtId="9" formatCode="#,##0\ &quot;€&quot;;\-#,##0\ &quot;€&quot;"/>
    </dxf>
    <dxf>
      <numFmt numFmtId="9" formatCode="#,##0\ &quot;€&quot;;\-#,##0\ &quot;€&quot;"/>
    </dxf>
    <dxf>
      <numFmt numFmtId="9" formatCode="#,##0\ &quot;€&quot;;\-#,##0\ &quot;€&quot;"/>
    </dxf>
    <dxf>
      <numFmt numFmtId="11" formatCode="#,##0.00\ &quot;€&quot;;\-#,##0.00\ &quot;€&quot;"/>
    </dxf>
    <dxf>
      <font>
        <b/>
        <i val="0"/>
        <color rgb="FF00B050"/>
      </font>
    </dxf>
    <dxf>
      <font>
        <color rgb="FF006100"/>
      </font>
      <fill>
        <patternFill>
          <bgColor rgb="FFC6EFCE"/>
        </patternFill>
      </fill>
    </dxf>
    <dxf>
      <font>
        <color rgb="FF9C0006"/>
      </font>
      <fill>
        <patternFill>
          <bgColor rgb="FFFFC7CE"/>
        </patternFill>
      </fill>
    </dxf>
    <dxf>
      <font>
        <b/>
        <i val="0"/>
        <color theme="0"/>
      </font>
      <fill>
        <patternFill>
          <bgColor rgb="FF2F4052"/>
        </patternFill>
      </fill>
    </dxf>
  </dxfs>
  <tableStyles count="1" defaultTableStyle="TableStyleMedium9" defaultPivotStyle="PivotStyleLight16">
    <tableStyle name="Estilo de Segmentação de Dados 1" pivot="0" table="0" count="7" xr9:uid="{11478396-027D-4BEB-9291-110621826E57}">
      <tableStyleElement type="wholeTable" dxfId="44"/>
    </tableStyle>
  </tableStyles>
  <colors>
    <mruColors>
      <color rgb="FF2F4052"/>
      <color rgb="FF2B5280"/>
      <color rgb="FF37506C"/>
      <color rgb="FF28394D"/>
      <color rgb="FF4F749E"/>
    </mruColors>
  </colors>
  <extLst>
    <ext xmlns:x14="http://schemas.microsoft.com/office/spreadsheetml/2009/9/main" uri="{46F421CA-312F-682f-3DD2-61675219B42D}">
      <x14:dxfs count="6">
        <dxf>
          <fill>
            <patternFill>
              <bgColor rgb="FFFF0000"/>
            </patternFill>
          </fill>
        </dxf>
        <dxf>
          <fill>
            <patternFill>
              <bgColor rgb="FFFFFF00"/>
            </patternFill>
          </fill>
        </dxf>
        <dxf>
          <font>
            <b/>
            <i val="0"/>
            <color theme="1"/>
          </font>
          <fill>
            <patternFill>
              <bgColor rgb="FF2F4052"/>
            </patternFill>
          </fill>
        </dxf>
        <dxf>
          <font>
            <b/>
            <i val="0"/>
            <color theme="1"/>
          </font>
          <fill>
            <patternFill patternType="none">
              <bgColor auto="1"/>
            </patternFill>
          </fill>
          <border diagonalUp="0" diagonalDown="0">
            <left/>
            <right/>
            <top/>
            <bottom/>
            <vertical/>
            <horizontal/>
          </border>
        </dxf>
        <dxf>
          <font>
            <color theme="3" tint="-0.24994659260841701"/>
          </font>
          <fill>
            <patternFill>
              <bgColor rgb="FF00B050"/>
            </patternFill>
          </fill>
        </dxf>
        <dxf>
          <font>
            <color theme="3" tint="-0.499984740745262"/>
          </font>
          <fill>
            <patternFill patternType="solid">
              <bgColor rgb="FF2F405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Estilo de Segmentação de Dados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24" Type="http://schemas.openxmlformats.org/officeDocument/2006/relationships/pivotCacheDefinition" Target="pivotCache/pivotCacheDefinition13.xml"/><Relationship Id="rId32" Type="http://schemas.openxmlformats.org/officeDocument/2006/relationships/connections" Target="connections.xml"/><Relationship Id="rId37" Type="http://schemas.microsoft.com/office/2017/06/relationships/rdRichValue" Target="richData/rdrichvalue.xml"/><Relationship Id="rId40" Type="http://schemas.openxmlformats.org/officeDocument/2006/relationships/powerPivotData" Target="model/item.data"/><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66" Type="http://schemas.openxmlformats.org/officeDocument/2006/relationships/customXml" Target="../customXml/item25.xml"/><Relationship Id="rId74"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0.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sheetMetadata" Target="metadata.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pivotCacheDefinition" Target="pivotCache/pivotCacheDefinition9.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microsoft.com/office/2007/relationships/slicerCache" Target="slicerCaches/slicerCache2.xml"/><Relationship Id="rId36" Type="http://schemas.microsoft.com/office/2022/10/relationships/richValueRel" Target="richData/richValueRel.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microsoft.com/office/2017/06/relationships/rdRichValueTypes" Target="richData/rdRichValueTypes.xml"/><Relationship Id="rId34" Type="http://schemas.openxmlformats.org/officeDocument/2006/relationships/sharedStrings" Target="sharedStrings.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2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Original.xlsm]TD!PivotTable5</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a:t>Receitas VS Despesas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
                <a:schemeClr val="tx2">
                  <a:lumMod val="60000"/>
                  <a:lumOff val="40000"/>
                </a:schemeClr>
              </a:gs>
              <a:gs pos="100000">
                <a:schemeClr val="tx2">
                  <a:lumMod val="75000"/>
                </a:schemeClr>
              </a:gs>
            </a:gsLst>
            <a:lin ang="5400000" scaled="1"/>
          </a:gradFill>
          <a:ln>
            <a:noFill/>
          </a:ln>
          <a:effectLst/>
        </c:spPr>
        <c:marker>
          <c:symbol val="none"/>
        </c:marker>
        <c:dLbl>
          <c:idx val="0"/>
          <c:numFmt formatCode="#,##0.00\ [$Kz]" c16r2:formatcode2="#,##0.00\ [$Kz-pt-AO]" sourceLinked="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
                <a:srgbClr val="00B050"/>
              </a:gs>
              <a:gs pos="100000">
                <a:schemeClr val="tx2">
                  <a:lumMod val="75000"/>
                </a:schemeClr>
              </a:gs>
            </a:gsLst>
            <a:lin ang="5400000" scaled="1"/>
          </a:gradFill>
          <a:ln>
            <a:noFill/>
          </a:ln>
          <a:effectLst/>
        </c:spPr>
      </c:pivotFmt>
      <c:pivotFmt>
        <c:idx val="4"/>
        <c:spPr>
          <a:gradFill>
            <a:gsLst>
              <a:gs pos="1000">
                <a:srgbClr val="FF0000"/>
              </a:gs>
              <a:gs pos="100000">
                <a:schemeClr val="tx2">
                  <a:lumMod val="75000"/>
                </a:schemeClr>
              </a:gs>
            </a:gsLst>
            <a:lin ang="5400000" scaled="1"/>
          </a:gradFill>
          <a:ln>
            <a:noFill/>
          </a:ln>
          <a:effectLst/>
        </c:spPr>
      </c:pivotFmt>
    </c:pivotFmts>
    <c:plotArea>
      <c:layout/>
      <c:barChart>
        <c:barDir val="col"/>
        <c:grouping val="clustered"/>
        <c:varyColors val="0"/>
        <c:ser>
          <c:idx val="0"/>
          <c:order val="0"/>
          <c:tx>
            <c:strRef>
              <c:f>TD!$B$13</c:f>
              <c:strCache>
                <c:ptCount val="1"/>
                <c:pt idx="0">
                  <c:v>Total</c:v>
                </c:pt>
              </c:strCache>
            </c:strRef>
          </c:tx>
          <c:spPr>
            <a:gradFill>
              <a:gsLst>
                <a:gs pos="1000">
                  <a:schemeClr val="tx2">
                    <a:lumMod val="60000"/>
                    <a:lumOff val="40000"/>
                  </a:schemeClr>
                </a:gs>
                <a:gs pos="100000">
                  <a:schemeClr val="tx2">
                    <a:lumMod val="75000"/>
                  </a:schemeClr>
                </a:gs>
              </a:gsLst>
              <a:lin ang="5400000" scaled="1"/>
            </a:gradFill>
            <a:ln>
              <a:noFill/>
            </a:ln>
            <a:effectLst/>
          </c:spPr>
          <c:invertIfNegative val="0"/>
          <c:dPt>
            <c:idx val="0"/>
            <c:invertIfNegative val="0"/>
            <c:bubble3D val="0"/>
            <c:spPr>
              <a:gradFill>
                <a:gsLst>
                  <a:gs pos="1000">
                    <a:srgbClr val="00B050"/>
                  </a:gs>
                  <a:gs pos="100000">
                    <a:schemeClr val="tx2">
                      <a:lumMod val="75000"/>
                    </a:schemeClr>
                  </a:gs>
                </a:gsLst>
                <a:lin ang="5400000" scaled="1"/>
              </a:gradFill>
              <a:ln>
                <a:noFill/>
              </a:ln>
              <a:effectLst/>
            </c:spPr>
            <c:extLst>
              <c:ext xmlns:c16="http://schemas.microsoft.com/office/drawing/2014/chart" uri="{C3380CC4-5D6E-409C-BE32-E72D297353CC}">
                <c16:uniqueId val="{00000001-320B-4335-8227-DF8701FD4FFC}"/>
              </c:ext>
            </c:extLst>
          </c:dPt>
          <c:dPt>
            <c:idx val="1"/>
            <c:invertIfNegative val="0"/>
            <c:bubble3D val="0"/>
            <c:spPr>
              <a:gradFill>
                <a:gsLst>
                  <a:gs pos="1000">
                    <a:srgbClr val="FF0000"/>
                  </a:gs>
                  <a:gs pos="100000">
                    <a:schemeClr val="tx2">
                      <a:lumMod val="75000"/>
                    </a:schemeClr>
                  </a:gs>
                </a:gsLst>
                <a:lin ang="5400000" scaled="1"/>
              </a:gradFill>
              <a:ln>
                <a:noFill/>
              </a:ln>
              <a:effectLst/>
            </c:spPr>
            <c:extLst>
              <c:ext xmlns:c16="http://schemas.microsoft.com/office/drawing/2014/chart" uri="{C3380CC4-5D6E-409C-BE32-E72D297353CC}">
                <c16:uniqueId val="{00000002-320B-4335-8227-DF8701FD4FFC}"/>
              </c:ext>
            </c:extLst>
          </c:dPt>
          <c:dLbls>
            <c:numFmt formatCode="#,##0.00\ [$Kz]" c16r2:formatcode2="#,##0.00\ [$Kz-pt-AO]" sourceLinked="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TD!$A$14:$A$16</c:f>
              <c:strCache>
                <c:ptCount val="2"/>
                <c:pt idx="0">
                  <c:v>Entrada</c:v>
                </c:pt>
                <c:pt idx="1">
                  <c:v>Saída</c:v>
                </c:pt>
              </c:strCache>
            </c:strRef>
          </c:cat>
          <c:val>
            <c:numRef>
              <c:f>TD!$B$14:$B$16</c:f>
              <c:numCache>
                <c:formatCode>"€"#,##0_);\("€"#,##0\)</c:formatCode>
                <c:ptCount val="2"/>
                <c:pt idx="0">
                  <c:v>138400</c:v>
                </c:pt>
                <c:pt idx="1">
                  <c:v>40900</c:v>
                </c:pt>
              </c:numCache>
            </c:numRef>
          </c:val>
          <c:extLst>
            <c:ext xmlns:c16="http://schemas.microsoft.com/office/drawing/2014/chart" uri="{C3380CC4-5D6E-409C-BE32-E72D297353CC}">
              <c16:uniqueId val="{00000000-F301-417B-ACEF-BAE90A4BA44A}"/>
            </c:ext>
          </c:extLst>
        </c:ser>
        <c:dLbls>
          <c:dLblPos val="outEnd"/>
          <c:showLegendKey val="0"/>
          <c:showVal val="1"/>
          <c:showCatName val="0"/>
          <c:showSerName val="0"/>
          <c:showPercent val="0"/>
          <c:showBubbleSize val="0"/>
        </c:dLbls>
        <c:gapWidth val="219"/>
        <c:overlap val="-27"/>
        <c:axId val="1266460744"/>
        <c:axId val="1266465064"/>
      </c:barChart>
      <c:catAx>
        <c:axId val="1266460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PT"/>
          </a:p>
        </c:txPr>
        <c:crossAx val="1266465064"/>
        <c:crosses val="autoZero"/>
        <c:auto val="1"/>
        <c:lblAlgn val="ctr"/>
        <c:lblOffset val="100"/>
        <c:noMultiLvlLbl val="0"/>
      </c:catAx>
      <c:valAx>
        <c:axId val="1266465064"/>
        <c:scaling>
          <c:orientation val="minMax"/>
        </c:scaling>
        <c:delete val="1"/>
        <c:axPos val="l"/>
        <c:numFmt formatCode="&quot;€&quot;#,##0_);\(&quot;€&quot;#,##0\)" sourceLinked="1"/>
        <c:majorTickMark val="none"/>
        <c:minorTickMark val="none"/>
        <c:tickLblPos val="nextTo"/>
        <c:crossAx val="1266460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F4052"/>
    </a:solidFill>
    <a:ln w="9525" cap="flat" cmpd="sng" algn="ctr">
      <a:noFill/>
      <a:round/>
    </a:ln>
    <a:effectLst>
      <a:outerShdw blurRad="50800" dist="38100" dir="2700000" algn="tl" rotWithShape="0">
        <a:schemeClr val="bg1">
          <a:alpha val="40000"/>
        </a:schemeClr>
      </a:outerShdw>
    </a:effectLst>
  </c:spPr>
  <c:txPr>
    <a:bodyPr/>
    <a:lstStyle/>
    <a:p>
      <a:pPr>
        <a:defRPr b="1">
          <a:solidFill>
            <a:schemeClr val="bg1"/>
          </a:solidFill>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Original.xlsm]TD!PivotTable6</c:name>
    <c:fmtId val="3"/>
  </c:pivotSource>
  <c:chart>
    <c:title>
      <c:tx>
        <c:rich>
          <a:bodyPr rot="0" spcFirstLastPara="1" vertOverflow="ellipsis" vert="horz" wrap="square" anchor="ctr" anchorCtr="1"/>
          <a:lstStyle/>
          <a:p>
            <a:pPr>
              <a:defRPr lang="en-US" sz="1320" b="1" i="0" u="none" strike="noStrike" kern="1200" spc="0" baseline="0">
                <a:solidFill>
                  <a:schemeClr val="bg1"/>
                </a:solidFill>
                <a:latin typeface="+mn-lt"/>
                <a:ea typeface="+mn-ea"/>
                <a:cs typeface="+mn-cs"/>
              </a:defRPr>
            </a:pPr>
            <a:r>
              <a:rPr lang="en-US"/>
              <a:t>Receita Mensal</a:t>
            </a:r>
          </a:p>
        </c:rich>
      </c:tx>
      <c:overlay val="0"/>
      <c:spPr>
        <a:noFill/>
        <a:ln>
          <a:noFill/>
        </a:ln>
        <a:effectLst/>
      </c:spPr>
      <c:txPr>
        <a:bodyPr rot="0" spcFirstLastPara="1" vertOverflow="ellipsis" vert="horz" wrap="square" anchor="ctr" anchorCtr="1"/>
        <a:lstStyle/>
        <a:p>
          <a:pPr>
            <a:defRPr lang="en-US" sz="132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7000">
                  <a:srgbClr val="00B050"/>
                </a:gs>
                <a:gs pos="100000">
                  <a:srgbClr val="FF0000"/>
                </a:gs>
              </a:gsLst>
              <a:lin ang="5400000" scaled="1"/>
            </a:gradFill>
            <a:round/>
          </a:ln>
          <a:effectLst>
            <a:softEdge rad="0"/>
          </a:effectLst>
        </c:spPr>
        <c:marker>
          <c:symbol val="circle"/>
          <c:size val="5"/>
          <c:spPr>
            <a:solidFill>
              <a:schemeClr val="accent1"/>
            </a:solidFill>
            <a:ln w="9525">
              <a:solidFill>
                <a:schemeClr val="accent1"/>
              </a:solidFill>
            </a:ln>
            <a:effectLst>
              <a:softEdge rad="0"/>
            </a:effectLst>
          </c:spPr>
        </c:marker>
        <c:dLbl>
          <c:idx val="0"/>
          <c:spPr>
            <a:noFill/>
            <a:ln>
              <a:noFill/>
            </a:ln>
            <a:effectLst/>
          </c:spPr>
          <c:txPr>
            <a:bodyPr rot="0" spcFirstLastPara="1" vertOverflow="ellipsis" vert="horz" wrap="square" anchor="ctr" anchorCtr="1"/>
            <a:lstStyle/>
            <a:p>
              <a:pPr>
                <a:defRPr lang="en-US" sz="1100" b="1" i="0" u="none" strike="noStrike" kern="1200" baseline="0">
                  <a:solidFill>
                    <a:schemeClr val="bg1"/>
                  </a:solidFill>
                  <a:latin typeface="+mn-lt"/>
                  <a:ea typeface="+mn-ea"/>
                  <a:cs typeface="+mn-cs"/>
                </a:defRPr>
              </a:pPr>
              <a:endParaRPr lang="pt-PT"/>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TD!$B$21</c:f>
              <c:strCache>
                <c:ptCount val="1"/>
                <c:pt idx="0">
                  <c:v>Total</c:v>
                </c:pt>
              </c:strCache>
            </c:strRef>
          </c:tx>
          <c:spPr>
            <a:ln w="28575" cap="rnd">
              <a:gradFill>
                <a:gsLst>
                  <a:gs pos="7000">
                    <a:srgbClr val="00B050"/>
                  </a:gs>
                  <a:gs pos="100000">
                    <a:srgbClr val="FF0000"/>
                  </a:gs>
                </a:gsLst>
                <a:lin ang="5400000" scaled="1"/>
              </a:gradFill>
              <a:round/>
            </a:ln>
            <a:effectLst>
              <a:softEdge rad="0"/>
            </a:effectLst>
          </c:spPr>
          <c:marker>
            <c:symbol val="circle"/>
            <c:size val="5"/>
            <c:spPr>
              <a:solidFill>
                <a:schemeClr val="accent1"/>
              </a:solidFill>
              <a:ln w="9525">
                <a:solidFill>
                  <a:schemeClr val="accent1"/>
                </a:solidFill>
              </a:ln>
              <a:effectLst>
                <a:softEdge rad="0"/>
              </a:effectLst>
            </c:spPr>
          </c:marker>
          <c:dLbls>
            <c:spPr>
              <a:noFill/>
              <a:ln>
                <a:noFill/>
              </a:ln>
              <a:effectLst/>
            </c:spPr>
            <c:txPr>
              <a:bodyPr rot="0" spcFirstLastPara="1" vertOverflow="ellipsis" vert="horz" wrap="square" anchor="ctr" anchorCtr="1"/>
              <a:lstStyle/>
              <a:p>
                <a:pPr>
                  <a:defRPr lang="en-US" sz="1100" b="1" i="0" u="none" strike="noStrike" kern="1200" baseline="0">
                    <a:solidFill>
                      <a:schemeClr val="bg1"/>
                    </a:solidFill>
                    <a:latin typeface="+mn-lt"/>
                    <a:ea typeface="+mn-ea"/>
                    <a:cs typeface="+mn-cs"/>
                  </a:defRPr>
                </a:pPr>
                <a:endParaRPr lang="pt-PT"/>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TD!$A$22:$A$24</c:f>
              <c:strCache>
                <c:ptCount val="2"/>
                <c:pt idx="0">
                  <c:v>set</c:v>
                </c:pt>
                <c:pt idx="1">
                  <c:v>out</c:v>
                </c:pt>
              </c:strCache>
            </c:strRef>
          </c:cat>
          <c:val>
            <c:numRef>
              <c:f>TD!$B$22:$B$24</c:f>
              <c:numCache>
                <c:formatCode>"€"#,##0_);\("€"#,##0\)</c:formatCode>
                <c:ptCount val="2"/>
                <c:pt idx="0">
                  <c:v>126050</c:v>
                </c:pt>
                <c:pt idx="1">
                  <c:v>53250</c:v>
                </c:pt>
              </c:numCache>
            </c:numRef>
          </c:val>
          <c:smooth val="1"/>
          <c:extLst>
            <c:ext xmlns:c16="http://schemas.microsoft.com/office/drawing/2014/chart" uri="{C3380CC4-5D6E-409C-BE32-E72D297353CC}">
              <c16:uniqueId val="{00000000-6BAD-4DC5-8182-8FBF01227655}"/>
            </c:ext>
          </c:extLst>
        </c:ser>
        <c:dLbls>
          <c:dLblPos val="t"/>
          <c:showLegendKey val="0"/>
          <c:showVal val="1"/>
          <c:showCatName val="0"/>
          <c:showSerName val="0"/>
          <c:showPercent val="0"/>
          <c:showBubbleSize val="0"/>
        </c:dLbls>
        <c:marker val="1"/>
        <c:smooth val="0"/>
        <c:axId val="1153646504"/>
        <c:axId val="1153645064"/>
      </c:lineChart>
      <c:catAx>
        <c:axId val="1153646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bg1"/>
                </a:solidFill>
                <a:latin typeface="+mn-lt"/>
                <a:ea typeface="+mn-ea"/>
                <a:cs typeface="+mn-cs"/>
              </a:defRPr>
            </a:pPr>
            <a:endParaRPr lang="pt-PT"/>
          </a:p>
        </c:txPr>
        <c:crossAx val="1153645064"/>
        <c:crosses val="autoZero"/>
        <c:auto val="1"/>
        <c:lblAlgn val="ctr"/>
        <c:lblOffset val="100"/>
        <c:noMultiLvlLbl val="0"/>
      </c:catAx>
      <c:valAx>
        <c:axId val="1153645064"/>
        <c:scaling>
          <c:orientation val="minMax"/>
        </c:scaling>
        <c:delete val="1"/>
        <c:axPos val="l"/>
        <c:numFmt formatCode="&quot;€&quot;#,##0_);\(&quot;€&quot;#,##0\)" sourceLinked="1"/>
        <c:majorTickMark val="none"/>
        <c:minorTickMark val="none"/>
        <c:tickLblPos val="nextTo"/>
        <c:crossAx val="1153646504"/>
        <c:crosses val="autoZero"/>
        <c:crossBetween val="between"/>
      </c:valAx>
      <c:spPr>
        <a:noFill/>
        <a:ln>
          <a:noFill/>
        </a:ln>
        <a:effectLst>
          <a:outerShdw blurRad="50800" dist="38100" dir="2700000" algn="tl" rotWithShape="0">
            <a:schemeClr val="tx1">
              <a:alpha val="40000"/>
            </a:scheme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F4052"/>
    </a:solidFill>
    <a:ln w="9525" cap="flat" cmpd="sng" algn="ctr">
      <a:noFill/>
      <a:round/>
    </a:ln>
    <a:effectLst>
      <a:outerShdw blurRad="50800" dist="38100" dir="2700000" algn="tl" rotWithShape="0">
        <a:schemeClr val="bg1">
          <a:alpha val="40000"/>
        </a:schemeClr>
      </a:outerShdw>
    </a:effectLst>
  </c:spPr>
  <c:txPr>
    <a:bodyPr/>
    <a:lstStyle/>
    <a:p>
      <a:pPr>
        <a:defRPr lang="en-US" sz="1100" b="1" i="0" u="none" strike="noStrike" kern="1200" baseline="0">
          <a:solidFill>
            <a:schemeClr val="bg1"/>
          </a:solidFill>
          <a:latin typeface="+mn-lt"/>
          <a:ea typeface="+mn-ea"/>
          <a:cs typeface="+mn-cs"/>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Original.xlsm]TD!PivotTable4</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Despesas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TD!$B$1</c:f>
              <c:strCache>
                <c:ptCount val="1"/>
                <c:pt idx="0">
                  <c:v>Total</c:v>
                </c:pt>
              </c:strCache>
            </c:strRef>
          </c:tx>
          <c:spPr>
            <a:solidFill>
              <a:srgbClr val="00B050"/>
            </a:solidFill>
            <a:ln>
              <a:noFill/>
            </a:ln>
            <a:effectLst>
              <a:outerShdw blurRad="50800" dist="50800" dir="5400000" sx="1000" sy="1000" algn="ctr" rotWithShape="0">
                <a:srgbClr val="000000">
                  <a:alpha val="43137"/>
                </a:srgbClr>
              </a:outerShdw>
              <a:softEdge rad="0"/>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TD!$A$2:$A$9</c:f>
              <c:strCache>
                <c:ptCount val="7"/>
                <c:pt idx="0">
                  <c:v>Gráfica</c:v>
                </c:pt>
                <c:pt idx="1">
                  <c:v>Prodção Grafica</c:v>
                </c:pt>
                <c:pt idx="2">
                  <c:v>Taxi</c:v>
                </c:pt>
                <c:pt idx="3">
                  <c:v>T-Shirt</c:v>
                </c:pt>
                <c:pt idx="4">
                  <c:v>T-Shirt S</c:v>
                </c:pt>
                <c:pt idx="5">
                  <c:v>T-Shirts</c:v>
                </c:pt>
                <c:pt idx="6">
                  <c:v>Venda De T-Shirt</c:v>
                </c:pt>
              </c:strCache>
            </c:strRef>
          </c:cat>
          <c:val>
            <c:numRef>
              <c:f>TD!$B$2:$B$9</c:f>
              <c:numCache>
                <c:formatCode>"€"#,##0_);\("€"#,##0\)</c:formatCode>
                <c:ptCount val="7"/>
                <c:pt idx="0">
                  <c:v>2900</c:v>
                </c:pt>
                <c:pt idx="1">
                  <c:v>5000</c:v>
                </c:pt>
                <c:pt idx="2">
                  <c:v>5000</c:v>
                </c:pt>
                <c:pt idx="3">
                  <c:v>7000</c:v>
                </c:pt>
                <c:pt idx="4">
                  <c:v>3500</c:v>
                </c:pt>
                <c:pt idx="5">
                  <c:v>17500</c:v>
                </c:pt>
                <c:pt idx="6">
                  <c:v>138400</c:v>
                </c:pt>
              </c:numCache>
            </c:numRef>
          </c:val>
          <c:extLst>
            <c:ext xmlns:c16="http://schemas.microsoft.com/office/drawing/2014/chart" uri="{C3380CC4-5D6E-409C-BE32-E72D297353CC}">
              <c16:uniqueId val="{00000000-B71C-48EB-A874-391C1CC9AD87}"/>
            </c:ext>
          </c:extLst>
        </c:ser>
        <c:dLbls>
          <c:showLegendKey val="0"/>
          <c:showVal val="0"/>
          <c:showCatName val="0"/>
          <c:showSerName val="0"/>
          <c:showPercent val="0"/>
          <c:showBubbleSize val="0"/>
        </c:dLbls>
        <c:gapWidth val="31"/>
        <c:axId val="588614327"/>
        <c:axId val="588611807"/>
      </c:barChart>
      <c:catAx>
        <c:axId val="588614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crossAx val="588611807"/>
        <c:crosses val="autoZero"/>
        <c:auto val="1"/>
        <c:lblAlgn val="ctr"/>
        <c:lblOffset val="100"/>
        <c:noMultiLvlLbl val="0"/>
      </c:catAx>
      <c:valAx>
        <c:axId val="588611807"/>
        <c:scaling>
          <c:orientation val="minMax"/>
        </c:scaling>
        <c:delete val="0"/>
        <c:axPos val="b"/>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crossAx val="588614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F4052"/>
    </a:solidFill>
    <a:ln w="9525" cap="flat" cmpd="sng" algn="ctr">
      <a:noFill/>
      <a:round/>
    </a:ln>
    <a:effectLst>
      <a:outerShdw blurRad="50800" dist="38100" dir="2700000" algn="tl" rotWithShape="0">
        <a:schemeClr val="bg1">
          <a:alpha val="40000"/>
        </a:schemeClr>
      </a:outerShdw>
    </a:effectLst>
  </c:spPr>
  <c:txPr>
    <a:bodyPr/>
    <a:lstStyle/>
    <a:p>
      <a:pPr>
        <a:defRPr>
          <a:solidFill>
            <a:schemeClr val="bg1"/>
          </a:solidFill>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Original.xlsm]BD!Tabela Dinâmica1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BD!$C$5</c:f>
              <c:strCache>
                <c:ptCount val="1"/>
                <c:pt idx="0">
                  <c:v>Total</c:v>
                </c:pt>
              </c:strCache>
            </c:strRef>
          </c:tx>
          <c:spPr>
            <a:solidFill>
              <a:schemeClr val="accent1"/>
            </a:solidFill>
            <a:ln>
              <a:noFill/>
            </a:ln>
            <a:effectLst/>
          </c:spPr>
          <c:invertIfNegative val="0"/>
          <c:cat>
            <c:strRef>
              <c:f>BD!$B$6:$B$14</c:f>
              <c:strCache>
                <c:ptCount val="8"/>
                <c:pt idx="0">
                  <c:v>Venda de T-shirt</c:v>
                </c:pt>
                <c:pt idx="1">
                  <c:v>T-Shirts</c:v>
                </c:pt>
                <c:pt idx="2">
                  <c:v>T-shirt</c:v>
                </c:pt>
                <c:pt idx="3">
                  <c:v>Taxi</c:v>
                </c:pt>
                <c:pt idx="4">
                  <c:v>Prodção Grafica</c:v>
                </c:pt>
                <c:pt idx="5">
                  <c:v>T-shirt S</c:v>
                </c:pt>
                <c:pt idx="6">
                  <c:v>Gráfica</c:v>
                </c:pt>
                <c:pt idx="7">
                  <c:v>(em branco)</c:v>
                </c:pt>
              </c:strCache>
            </c:strRef>
          </c:cat>
          <c:val>
            <c:numRef>
              <c:f>BD!$C$6:$C$14</c:f>
              <c:numCache>
                <c:formatCode>General</c:formatCode>
                <c:ptCount val="8"/>
                <c:pt idx="0">
                  <c:v>138400</c:v>
                </c:pt>
                <c:pt idx="1">
                  <c:v>17500</c:v>
                </c:pt>
                <c:pt idx="2">
                  <c:v>7000</c:v>
                </c:pt>
                <c:pt idx="3">
                  <c:v>5000</c:v>
                </c:pt>
                <c:pt idx="4">
                  <c:v>5000</c:v>
                </c:pt>
                <c:pt idx="5">
                  <c:v>3500</c:v>
                </c:pt>
                <c:pt idx="6">
                  <c:v>2900</c:v>
                </c:pt>
              </c:numCache>
            </c:numRef>
          </c:val>
          <c:extLst>
            <c:ext xmlns:c16="http://schemas.microsoft.com/office/drawing/2014/chart" uri="{C3380CC4-5D6E-409C-BE32-E72D297353CC}">
              <c16:uniqueId val="{00000000-E57B-4492-BB27-E23FF693C1E1}"/>
            </c:ext>
          </c:extLst>
        </c:ser>
        <c:dLbls>
          <c:showLegendKey val="0"/>
          <c:showVal val="0"/>
          <c:showCatName val="0"/>
          <c:showSerName val="0"/>
          <c:showPercent val="0"/>
          <c:showBubbleSize val="0"/>
        </c:dLbls>
        <c:gapWidth val="219"/>
        <c:overlap val="-27"/>
        <c:axId val="1139368240"/>
        <c:axId val="1139363920"/>
      </c:barChart>
      <c:catAx>
        <c:axId val="11393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1139363920"/>
        <c:crosses val="autoZero"/>
        <c:auto val="1"/>
        <c:lblAlgn val="ctr"/>
        <c:lblOffset val="100"/>
        <c:noMultiLvlLbl val="0"/>
      </c:catAx>
      <c:valAx>
        <c:axId val="113936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1139368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Original.xlsm]BD!Tabela Dinâmica3</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BD!$N$11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9F-4127-8320-457E6F0826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9F-4127-8320-457E6F0826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9F-4127-8320-457E6F0826E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9F-4127-8320-457E6F0826E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9F-4127-8320-457E6F0826EE}"/>
              </c:ext>
            </c:extLst>
          </c:dPt>
          <c:cat>
            <c:strRef>
              <c:f>BD!$M$12:$M$17</c:f>
              <c:strCache>
                <c:ptCount val="5"/>
                <c:pt idx="0">
                  <c:v>L</c:v>
                </c:pt>
                <c:pt idx="1">
                  <c:v>M</c:v>
                </c:pt>
                <c:pt idx="2">
                  <c:v>S</c:v>
                </c:pt>
                <c:pt idx="3">
                  <c:v>XL</c:v>
                </c:pt>
                <c:pt idx="4">
                  <c:v>(em branco)</c:v>
                </c:pt>
              </c:strCache>
            </c:strRef>
          </c:cat>
          <c:val>
            <c:numRef>
              <c:f>BD!$N$12:$N$17</c:f>
              <c:numCache>
                <c:formatCode>General</c:formatCode>
                <c:ptCount val="5"/>
                <c:pt idx="0">
                  <c:v>2</c:v>
                </c:pt>
                <c:pt idx="1">
                  <c:v>3</c:v>
                </c:pt>
                <c:pt idx="2">
                  <c:v>2</c:v>
                </c:pt>
                <c:pt idx="3">
                  <c:v>4</c:v>
                </c:pt>
              </c:numCache>
            </c:numRef>
          </c:val>
          <c:extLst>
            <c:ext xmlns:c16="http://schemas.microsoft.com/office/drawing/2014/chart" uri="{C3380CC4-5D6E-409C-BE32-E72D297353CC}">
              <c16:uniqueId val="{00000000-4FB3-427B-AECC-23E4703A5B5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Original.xlsm]BD!Tabela Dinâmica1</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DESPESAS POR CATEGORIA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Kz]" c16r2:formatcode2="#,##0.00\ [$Kz-pt-AO]"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91012366669846"/>
          <c:y val="4.0897212108738749E-2"/>
          <c:w val="0.74182530666832269"/>
          <c:h val="0.83787911978865337"/>
        </c:manualLayout>
      </c:layout>
      <c:barChart>
        <c:barDir val="bar"/>
        <c:grouping val="clustered"/>
        <c:varyColors val="0"/>
        <c:ser>
          <c:idx val="0"/>
          <c:order val="0"/>
          <c:tx>
            <c:strRef>
              <c:f>BD!$C$5</c:f>
              <c:strCache>
                <c:ptCount val="1"/>
                <c:pt idx="0">
                  <c:v>Total</c:v>
                </c:pt>
              </c:strCache>
            </c:strRef>
          </c:tx>
          <c:spPr>
            <a:solidFill>
              <a:schemeClr val="accent1"/>
            </a:solidFill>
            <a:ln>
              <a:noFill/>
            </a:ln>
            <a:effectLst/>
          </c:spPr>
          <c:invertIfNegative val="0"/>
          <c:dLbls>
            <c:numFmt formatCode="#,##0.00\ [$Kz]" c16r2:formatcode2="#,##0.00\ [$Kz-pt-AO]"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BD!$B$6:$B$14</c:f>
              <c:strCache>
                <c:ptCount val="8"/>
                <c:pt idx="0">
                  <c:v>Venda de T-shirt</c:v>
                </c:pt>
                <c:pt idx="1">
                  <c:v>T-Shirts</c:v>
                </c:pt>
                <c:pt idx="2">
                  <c:v>T-shirt</c:v>
                </c:pt>
                <c:pt idx="3">
                  <c:v>Taxi</c:v>
                </c:pt>
                <c:pt idx="4">
                  <c:v>Prodção Grafica</c:v>
                </c:pt>
                <c:pt idx="5">
                  <c:v>T-shirt S</c:v>
                </c:pt>
                <c:pt idx="6">
                  <c:v>Gráfica</c:v>
                </c:pt>
                <c:pt idx="7">
                  <c:v>(em branco)</c:v>
                </c:pt>
              </c:strCache>
            </c:strRef>
          </c:cat>
          <c:val>
            <c:numRef>
              <c:f>BD!$C$6:$C$14</c:f>
              <c:numCache>
                <c:formatCode>General</c:formatCode>
                <c:ptCount val="8"/>
                <c:pt idx="0">
                  <c:v>138400</c:v>
                </c:pt>
                <c:pt idx="1">
                  <c:v>17500</c:v>
                </c:pt>
                <c:pt idx="2">
                  <c:v>7000</c:v>
                </c:pt>
                <c:pt idx="3">
                  <c:v>5000</c:v>
                </c:pt>
                <c:pt idx="4">
                  <c:v>5000</c:v>
                </c:pt>
                <c:pt idx="5">
                  <c:v>3500</c:v>
                </c:pt>
                <c:pt idx="6">
                  <c:v>2900</c:v>
                </c:pt>
              </c:numCache>
            </c:numRef>
          </c:val>
          <c:extLst>
            <c:ext xmlns:c16="http://schemas.microsoft.com/office/drawing/2014/chart" uri="{C3380CC4-5D6E-409C-BE32-E72D297353CC}">
              <c16:uniqueId val="{00000000-674D-476F-BBC6-E1AF95F7C743}"/>
            </c:ext>
          </c:extLst>
        </c:ser>
        <c:dLbls>
          <c:showLegendKey val="0"/>
          <c:showVal val="0"/>
          <c:showCatName val="0"/>
          <c:showSerName val="0"/>
          <c:showPercent val="0"/>
          <c:showBubbleSize val="0"/>
        </c:dLbls>
        <c:gapWidth val="112"/>
        <c:axId val="1139368240"/>
        <c:axId val="1139363920"/>
      </c:barChart>
      <c:catAx>
        <c:axId val="1139368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crossAx val="1139363920"/>
        <c:crosses val="autoZero"/>
        <c:auto val="1"/>
        <c:lblAlgn val="ctr"/>
        <c:lblOffset val="100"/>
        <c:noMultiLvlLbl val="0"/>
      </c:catAx>
      <c:valAx>
        <c:axId val="1139363920"/>
        <c:scaling>
          <c:orientation val="minMax"/>
        </c:scaling>
        <c:delete val="1"/>
        <c:axPos val="b"/>
        <c:numFmt formatCode="General" sourceLinked="1"/>
        <c:majorTickMark val="none"/>
        <c:minorTickMark val="none"/>
        <c:tickLblPos val="nextTo"/>
        <c:crossAx val="1139368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 Original.xlsm]BD!Tabela Dinâmica3</c:name>
    <c:fmtId val="10"/>
  </c:pivotSource>
  <c:chart>
    <c:title>
      <c:tx>
        <c:rich>
          <a:bodyPr rot="0" spcFirstLastPara="1" vertOverflow="ellipsis" vert="horz" wrap="square" anchor="ctr" anchorCtr="1"/>
          <a:lstStyle/>
          <a:p>
            <a:pPr>
              <a:defRPr sz="1260" b="1" i="0" u="none" strike="noStrike" kern="1200" spc="0" baseline="0">
                <a:solidFill>
                  <a:schemeClr val="bg1"/>
                </a:solidFill>
                <a:latin typeface="+mn-lt"/>
                <a:ea typeface="+mn-ea"/>
                <a:cs typeface="+mn-cs"/>
              </a:defRPr>
            </a:pPr>
            <a:r>
              <a:rPr lang="en-US"/>
              <a:t>VENDA POR TAMANHO</a:t>
            </a:r>
          </a:p>
        </c:rich>
      </c:tx>
      <c:overlay val="0"/>
      <c:spPr>
        <a:noFill/>
        <a:ln>
          <a:noFill/>
        </a:ln>
        <a:effectLst/>
      </c:spPr>
      <c:txPr>
        <a:bodyPr rot="0" spcFirstLastPara="1" vertOverflow="ellipsis" vert="horz" wrap="square" anchor="ctr" anchorCtr="1"/>
        <a:lstStyle/>
        <a:p>
          <a:pPr>
            <a:defRPr sz="1260" b="1" i="0" u="none" strike="noStrike" kern="1200" spc="0" baseline="0">
              <a:solidFill>
                <a:schemeClr val="bg1"/>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pivotFmt>
      <c:pivotFmt>
        <c:idx val="9"/>
        <c:spPr>
          <a:solidFill>
            <a:schemeClr val="accent4">
              <a:lumMod val="50000"/>
            </a:schemeClr>
          </a:solidFill>
          <a:ln w="19050">
            <a:solidFill>
              <a:schemeClr val="lt1"/>
            </a:solidFill>
          </a:ln>
          <a:effectLst/>
        </c:spPr>
      </c:pivotFmt>
      <c:pivotFmt>
        <c:idx val="10"/>
        <c:spPr>
          <a:solidFill>
            <a:schemeClr val="accent4">
              <a:lumMod val="40000"/>
              <a:lumOff val="60000"/>
            </a:schemeClr>
          </a:solidFill>
          <a:ln w="19050">
            <a:solidFill>
              <a:schemeClr val="lt1"/>
            </a:solidFill>
          </a:ln>
          <a:effectLst/>
        </c:spPr>
      </c:pivotFmt>
      <c:pivotFmt>
        <c:idx val="11"/>
        <c:spPr>
          <a:solidFill>
            <a:schemeClr val="accent6">
              <a:lumMod val="75000"/>
            </a:schemeClr>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BD!$N$11</c:f>
              <c:strCache>
                <c:ptCount val="1"/>
                <c:pt idx="0">
                  <c:v>Total</c:v>
                </c:pt>
              </c:strCache>
            </c:strRef>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B87-4C67-BBDA-64FB01D21831}"/>
              </c:ext>
            </c:extLst>
          </c:dPt>
          <c:dPt>
            <c:idx val="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3-BB87-4C67-BBDA-64FB01D21831}"/>
              </c:ext>
            </c:extLst>
          </c:dPt>
          <c:dPt>
            <c:idx val="2"/>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5-BB87-4C67-BBDA-64FB01D21831}"/>
              </c:ext>
            </c:extLst>
          </c:dPt>
          <c:dPt>
            <c:idx val="3"/>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7-BB87-4C67-BBDA-64FB01D218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B87-4C67-BBDA-64FB01D21831}"/>
              </c:ext>
            </c:extLst>
          </c:dPt>
          <c:dLbls>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BD!$M$12:$M$17</c:f>
              <c:strCache>
                <c:ptCount val="5"/>
                <c:pt idx="0">
                  <c:v>L</c:v>
                </c:pt>
                <c:pt idx="1">
                  <c:v>M</c:v>
                </c:pt>
                <c:pt idx="2">
                  <c:v>S</c:v>
                </c:pt>
                <c:pt idx="3">
                  <c:v>XL</c:v>
                </c:pt>
                <c:pt idx="4">
                  <c:v>(em branco)</c:v>
                </c:pt>
              </c:strCache>
            </c:strRef>
          </c:cat>
          <c:val>
            <c:numRef>
              <c:f>BD!$N$12:$N$17</c:f>
              <c:numCache>
                <c:formatCode>General</c:formatCode>
                <c:ptCount val="5"/>
                <c:pt idx="0">
                  <c:v>2</c:v>
                </c:pt>
                <c:pt idx="1">
                  <c:v>3</c:v>
                </c:pt>
                <c:pt idx="2">
                  <c:v>2</c:v>
                </c:pt>
                <c:pt idx="3">
                  <c:v>4</c:v>
                </c:pt>
              </c:numCache>
            </c:numRef>
          </c:val>
          <c:extLst>
            <c:ext xmlns:c16="http://schemas.microsoft.com/office/drawing/2014/chart" uri="{C3380CC4-5D6E-409C-BE32-E72D297353CC}">
              <c16:uniqueId val="{0000000A-BB87-4C67-BBDA-64FB01D2183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pt-P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50" b="1">
          <a:solidFill>
            <a:schemeClr val="bg1"/>
          </a:solidFill>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sv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Stock Atualizado'!A1"/><Relationship Id="rId18" Type="http://schemas.openxmlformats.org/officeDocument/2006/relationships/image" Target="../media/image13.png"/><Relationship Id="rId3" Type="http://schemas.openxmlformats.org/officeDocument/2006/relationships/hyperlink" Target="#Stock!A1"/><Relationship Id="rId7" Type="http://schemas.openxmlformats.org/officeDocument/2006/relationships/hyperlink" Target="#Vendas!A1"/><Relationship Id="rId12" Type="http://schemas.openxmlformats.org/officeDocument/2006/relationships/image" Target="../media/image10.svg"/><Relationship Id="rId17" Type="http://schemas.openxmlformats.org/officeDocument/2006/relationships/hyperlink" Target="#DASHBOR!A1"/><Relationship Id="rId2" Type="http://schemas.openxmlformats.org/officeDocument/2006/relationships/hyperlink" Target="https://pixnio.com/pt/media/moedas-fortuna-rico-tesouro-dinheiro" TargetMode="External"/><Relationship Id="rId16" Type="http://schemas.openxmlformats.org/officeDocument/2006/relationships/hyperlink" Target="#Dashboard!A1"/><Relationship Id="rId1" Type="http://schemas.openxmlformats.org/officeDocument/2006/relationships/image" Target="../media/image4.jpg"/><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5" Type="http://schemas.openxmlformats.org/officeDocument/2006/relationships/image" Target="../media/image12.svg"/><Relationship Id="rId10" Type="http://schemas.openxmlformats.org/officeDocument/2006/relationships/hyperlink" Target="#Finan&#231;as!A1"/><Relationship Id="rId19" Type="http://schemas.openxmlformats.org/officeDocument/2006/relationships/image" Target="../media/image14.svg"/><Relationship Id="rId4" Type="http://schemas.openxmlformats.org/officeDocument/2006/relationships/hyperlink" Target="#'Stock Din&#226;mico'!A1"/><Relationship Id="rId9" Type="http://schemas.openxmlformats.org/officeDocument/2006/relationships/image" Target="../media/image8.svg"/><Relationship Id="rId14"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MENU!A1"/><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81915</xdr:colOff>
      <xdr:row>11</xdr:row>
      <xdr:rowOff>60960</xdr:rowOff>
    </xdr:from>
    <xdr:to>
      <xdr:col>9</xdr:col>
      <xdr:colOff>464820</xdr:colOff>
      <xdr:row>13</xdr:row>
      <xdr:rowOff>139065</xdr:rowOff>
    </xdr:to>
    <xdr:sp macro="[0]!InserirStock" textlink="">
      <xdr:nvSpPr>
        <xdr:cNvPr id="2" name="Rectangle: Rounded Corners 1">
          <a:extLst>
            <a:ext uri="{FF2B5EF4-FFF2-40B4-BE49-F238E27FC236}">
              <a16:creationId xmlns:a16="http://schemas.microsoft.com/office/drawing/2014/main" id="{AF5034AF-9BB0-E4E5-DE87-112D8F2B3A17}"/>
            </a:ext>
          </a:extLst>
        </xdr:cNvPr>
        <xdr:cNvSpPr/>
      </xdr:nvSpPr>
      <xdr:spPr>
        <a:xfrm>
          <a:off x="7054215" y="3223260"/>
          <a:ext cx="2211705" cy="786765"/>
        </a:xfrm>
        <a:prstGeom prst="roundRect">
          <a:avLst/>
        </a:prstGeom>
        <a:solidFill>
          <a:schemeClr val="accent6">
            <a:lumMod val="75000"/>
          </a:schemeClr>
        </a:solidFill>
        <a:ln>
          <a:noFill/>
        </a:ln>
        <a:effectLst>
          <a:outerShdw blurRad="50800" dist="38100" dir="5400000" algn="t" rotWithShape="0">
            <a:prstClr val="black">
              <a:alpha val="40000"/>
            </a:prst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solidFill>
                <a:schemeClr val="bg1"/>
              </a:solidFill>
            </a:rPr>
            <a:t>Adicionar</a:t>
          </a:r>
          <a:r>
            <a:rPr lang="pt-PT" sz="1800" b="1" baseline="0">
              <a:solidFill>
                <a:schemeClr val="bg1"/>
              </a:solidFill>
            </a:rPr>
            <a:t> Stock</a:t>
          </a:r>
          <a:endParaRPr lang="pt-PT" sz="1800" b="1">
            <a:solidFill>
              <a:schemeClr val="bg1"/>
            </a:solidFill>
          </a:endParaRPr>
        </a:p>
      </xdr:txBody>
    </xdr:sp>
    <xdr:clientData/>
  </xdr:twoCellAnchor>
  <xdr:twoCellAnchor>
    <xdr:from>
      <xdr:col>6</xdr:col>
      <xdr:colOff>200025</xdr:colOff>
      <xdr:row>3</xdr:row>
      <xdr:rowOff>0</xdr:rowOff>
    </xdr:from>
    <xdr:to>
      <xdr:col>9</xdr:col>
      <xdr:colOff>514350</xdr:colOff>
      <xdr:row>5</xdr:row>
      <xdr:rowOff>7620</xdr:rowOff>
    </xdr:to>
    <xdr:sp macro="[0]!LançarEntrada" textlink="">
      <xdr:nvSpPr>
        <xdr:cNvPr id="3" name="Rectangle: Rounded Corners 2">
          <a:extLst>
            <a:ext uri="{FF2B5EF4-FFF2-40B4-BE49-F238E27FC236}">
              <a16:creationId xmlns:a16="http://schemas.microsoft.com/office/drawing/2014/main" id="{CA2F7172-9E6C-BA8D-70DC-70E36B4D28D9}"/>
            </a:ext>
          </a:extLst>
        </xdr:cNvPr>
        <xdr:cNvSpPr/>
      </xdr:nvSpPr>
      <xdr:spPr>
        <a:xfrm>
          <a:off x="7172325" y="914400"/>
          <a:ext cx="2143125" cy="800100"/>
        </a:xfrm>
        <a:prstGeom prst="roundRect">
          <a:avLst/>
        </a:prstGeom>
        <a:solidFill>
          <a:schemeClr val="accent1"/>
        </a:solidFill>
        <a:ln>
          <a:noFill/>
        </a:ln>
        <a:effectLst>
          <a:outerShdw blurRad="50800" dist="38100" dir="5400000" algn="t" rotWithShape="0">
            <a:prstClr val="black">
              <a:alpha val="40000"/>
            </a:prst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400" b="1"/>
            <a:t>Lançar</a:t>
          </a:r>
          <a:r>
            <a:rPr lang="pt-PT" sz="2400" b="1" baseline="0"/>
            <a:t> Venda</a:t>
          </a:r>
          <a:endParaRPr lang="pt-PT" sz="2400" b="1"/>
        </a:p>
      </xdr:txBody>
    </xdr:sp>
    <xdr:clientData/>
  </xdr:twoCellAnchor>
  <xdr:twoCellAnchor>
    <xdr:from>
      <xdr:col>6</xdr:col>
      <xdr:colOff>167641</xdr:colOff>
      <xdr:row>7</xdr:row>
      <xdr:rowOff>22860</xdr:rowOff>
    </xdr:from>
    <xdr:to>
      <xdr:col>9</xdr:col>
      <xdr:colOff>502920</xdr:colOff>
      <xdr:row>9</xdr:row>
      <xdr:rowOff>15240</xdr:rowOff>
    </xdr:to>
    <xdr:sp macro="[0]!LançarSaida" textlink="">
      <xdr:nvSpPr>
        <xdr:cNvPr id="4" name="Rectangle: Rounded Corners 3">
          <a:extLst>
            <a:ext uri="{FF2B5EF4-FFF2-40B4-BE49-F238E27FC236}">
              <a16:creationId xmlns:a16="http://schemas.microsoft.com/office/drawing/2014/main" id="{EEB321DB-E595-67FC-955B-20F0852941CD}"/>
            </a:ext>
          </a:extLst>
        </xdr:cNvPr>
        <xdr:cNvSpPr/>
      </xdr:nvSpPr>
      <xdr:spPr>
        <a:xfrm>
          <a:off x="7139941" y="2049780"/>
          <a:ext cx="2164079" cy="762000"/>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Lançar</a:t>
          </a:r>
          <a:r>
            <a:rPr lang="pt-PT" sz="2800" b="1" baseline="0"/>
            <a:t> Saída</a:t>
          </a:r>
          <a:endParaRPr lang="pt-PT" sz="2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243840</xdr:colOff>
      <xdr:row>1</xdr:row>
      <xdr:rowOff>60960</xdr:rowOff>
    </xdr:to>
    <xdr:sp macro="" textlink="">
      <xdr:nvSpPr>
        <xdr:cNvPr id="3" name="Retângulo: Cantos Arredondados 2">
          <a:extLst>
            <a:ext uri="{FF2B5EF4-FFF2-40B4-BE49-F238E27FC236}">
              <a16:creationId xmlns:a16="http://schemas.microsoft.com/office/drawing/2014/main" id="{03F2FBCF-DF79-A41B-0537-09BC562367A1}"/>
            </a:ext>
          </a:extLst>
        </xdr:cNvPr>
        <xdr:cNvSpPr/>
      </xdr:nvSpPr>
      <xdr:spPr>
        <a:xfrm>
          <a:off x="0" y="0"/>
          <a:ext cx="14473747" cy="415379"/>
        </a:xfrm>
        <a:prstGeom prst="roundRect">
          <a:avLst/>
        </a:prstGeom>
        <a:gradFill flip="none" rotWithShape="1">
          <a:gsLst>
            <a:gs pos="48000">
              <a:srgbClr val="2B5280"/>
            </a:gs>
            <a:gs pos="7000">
              <a:srgbClr val="37506C"/>
            </a:gs>
            <a:gs pos="100000">
              <a:srgbClr val="28394D"/>
            </a:gs>
          </a:gsLst>
          <a:lin ang="5400000" scaled="1"/>
          <a:tileRect/>
        </a:gradFill>
        <a:ln>
          <a:noFill/>
        </a:ln>
        <a:effectLst>
          <a:innerShdw blurRad="114300">
            <a:schemeClr val="bg2">
              <a:lumMod val="50000"/>
              <a:alpha val="26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PT" sz="1800" b="1">
              <a:latin typeface="Times New Roman" panose="02020603050405020304" pitchFamily="18" charset="0"/>
              <a:ea typeface="Tahoma" panose="020B0604030504040204" pitchFamily="34" charset="0"/>
              <a:cs typeface="Times New Roman" panose="02020603050405020304" pitchFamily="18" charset="0"/>
            </a:rPr>
            <a:t>Visão geral da empresa Vuata Zaya, para gestão de receitas e despesas, bem como o stock.</a:t>
          </a:r>
        </a:p>
      </xdr:txBody>
    </xdr:sp>
    <xdr:clientData/>
  </xdr:twoCellAnchor>
  <xdr:twoCellAnchor>
    <xdr:from>
      <xdr:col>0</xdr:col>
      <xdr:colOff>149175</xdr:colOff>
      <xdr:row>2</xdr:row>
      <xdr:rowOff>83820</xdr:rowOff>
    </xdr:from>
    <xdr:to>
      <xdr:col>3</xdr:col>
      <xdr:colOff>11724</xdr:colOff>
      <xdr:row>6</xdr:row>
      <xdr:rowOff>130098</xdr:rowOff>
    </xdr:to>
    <xdr:grpSp>
      <xdr:nvGrpSpPr>
        <xdr:cNvPr id="9" name="Group 8">
          <a:extLst>
            <a:ext uri="{FF2B5EF4-FFF2-40B4-BE49-F238E27FC236}">
              <a16:creationId xmlns:a16="http://schemas.microsoft.com/office/drawing/2014/main" id="{8C5DCDE4-D6CA-C905-A1ED-9073E088F125}"/>
            </a:ext>
          </a:extLst>
        </xdr:cNvPr>
        <xdr:cNvGrpSpPr/>
      </xdr:nvGrpSpPr>
      <xdr:grpSpPr>
        <a:xfrm>
          <a:off x="149175" y="624840"/>
          <a:ext cx="1858989" cy="777798"/>
          <a:chOff x="1508760" y="1129599"/>
          <a:chExt cx="2171700" cy="883920"/>
        </a:xfrm>
        <a:solidFill>
          <a:srgbClr val="2F4052"/>
        </a:solidFill>
        <a:effectLst>
          <a:outerShdw blurRad="50800" dist="38100" dir="2700000" algn="tl" rotWithShape="0">
            <a:schemeClr val="bg1">
              <a:lumMod val="95000"/>
              <a:alpha val="38000"/>
            </a:schemeClr>
          </a:outerShdw>
        </a:effectLst>
      </xdr:grpSpPr>
      <xdr:grpSp>
        <xdr:nvGrpSpPr>
          <xdr:cNvPr id="8" name="Group 7">
            <a:extLst>
              <a:ext uri="{FF2B5EF4-FFF2-40B4-BE49-F238E27FC236}">
                <a16:creationId xmlns:a16="http://schemas.microsoft.com/office/drawing/2014/main" id="{9245D09A-62F7-1179-81BB-8A6BADC006D8}"/>
              </a:ext>
            </a:extLst>
          </xdr:cNvPr>
          <xdr:cNvGrpSpPr/>
        </xdr:nvGrpSpPr>
        <xdr:grpSpPr>
          <a:xfrm>
            <a:off x="1508760" y="1129599"/>
            <a:ext cx="2171700" cy="883920"/>
            <a:chOff x="1386840" y="809559"/>
            <a:chExt cx="2171700" cy="883920"/>
          </a:xfrm>
          <a:grpFill/>
        </xdr:grpSpPr>
        <xdr:sp macro="" textlink="TD!A66">
          <xdr:nvSpPr>
            <xdr:cNvPr id="4" name="Rectangle: Rounded Corners 3">
              <a:extLst>
                <a:ext uri="{FF2B5EF4-FFF2-40B4-BE49-F238E27FC236}">
                  <a16:creationId xmlns:a16="http://schemas.microsoft.com/office/drawing/2014/main" id="{7C5B08C1-9B72-4BBA-BC13-2D7F079B4303}"/>
                </a:ext>
              </a:extLst>
            </xdr:cNvPr>
            <xdr:cNvSpPr/>
          </xdr:nvSpPr>
          <xdr:spPr>
            <a:xfrm>
              <a:off x="1386840" y="809559"/>
              <a:ext cx="2171700" cy="88392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2F26DB3-C6E9-4E13-9DD5-F3330BAE179F}" type="TxLink">
                <a:rPr lang="en-US" sz="2400" b="0" i="0" u="none" strike="noStrike">
                  <a:solidFill>
                    <a:schemeClr val="bg1"/>
                  </a:solidFill>
                  <a:latin typeface="Aharoni" panose="02010803020104030203" pitchFamily="2" charset="-79"/>
                  <a:ea typeface="Calibri"/>
                  <a:cs typeface="Aharoni" panose="02010803020104030203" pitchFamily="2" charset="-79"/>
                </a:rPr>
                <a:pPr marL="0" indent="0" algn="ctr"/>
                <a:t>97 500 €</a:t>
              </a:fld>
              <a:endParaRPr lang="pt-PT" sz="2400" b="0" i="0" u="none" strike="noStrike">
                <a:solidFill>
                  <a:schemeClr val="bg1"/>
                </a:solidFill>
                <a:latin typeface="Aharoni" panose="02010803020104030203" pitchFamily="2" charset="-79"/>
                <a:ea typeface="Calibri"/>
                <a:cs typeface="Aharoni" panose="02010803020104030203" pitchFamily="2" charset="-79"/>
              </a:endParaRPr>
            </a:p>
          </xdr:txBody>
        </xdr:sp>
        <xdr:sp macro="" textlink="TD!A70">
          <xdr:nvSpPr>
            <xdr:cNvPr id="2" name="Rectangle: Rounded Corners 1">
              <a:extLst>
                <a:ext uri="{FF2B5EF4-FFF2-40B4-BE49-F238E27FC236}">
                  <a16:creationId xmlns:a16="http://schemas.microsoft.com/office/drawing/2014/main" id="{A435DE2A-4233-7248-12A9-4D6C13C19407}"/>
                </a:ext>
              </a:extLst>
            </xdr:cNvPr>
            <xdr:cNvSpPr/>
          </xdr:nvSpPr>
          <xdr:spPr>
            <a:xfrm>
              <a:off x="1760220" y="1353995"/>
              <a:ext cx="1249680" cy="301223"/>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49EEBB0-2545-4667-98D7-E2AA5D1BE3E0}" type="TxLink">
                <a:rPr lang="en-US" sz="1400" b="0" i="0" u="none" strike="noStrike">
                  <a:solidFill>
                    <a:schemeClr val="bg1"/>
                  </a:solidFill>
                  <a:latin typeface="Aharoni" panose="02010803020104030203" pitchFamily="2" charset="-79"/>
                  <a:ea typeface="Calibri"/>
                  <a:cs typeface="Aharoni" panose="02010803020104030203" pitchFamily="2" charset="-79"/>
                </a:rPr>
                <a:pPr algn="ctr"/>
                <a:t>129,55%</a:t>
              </a:fld>
              <a:endParaRPr lang="pt-PT" sz="1400">
                <a:solidFill>
                  <a:schemeClr val="bg1"/>
                </a:solidFill>
                <a:latin typeface="Aharoni" panose="02010803020104030203" pitchFamily="2" charset="-79"/>
                <a:cs typeface="Aharoni" panose="02010803020104030203" pitchFamily="2" charset="-79"/>
              </a:endParaRPr>
            </a:p>
          </xdr:txBody>
        </xdr:sp>
      </xdr:grpSp>
      <xdr:sp macro="" textlink="">
        <xdr:nvSpPr>
          <xdr:cNvPr id="5" name="Rectangle: Rounded Corners 4">
            <a:extLst>
              <a:ext uri="{FF2B5EF4-FFF2-40B4-BE49-F238E27FC236}">
                <a16:creationId xmlns:a16="http://schemas.microsoft.com/office/drawing/2014/main" id="{1EE8587A-E961-4237-94F6-F9067B8869E8}"/>
              </a:ext>
            </a:extLst>
          </xdr:cNvPr>
          <xdr:cNvSpPr/>
        </xdr:nvSpPr>
        <xdr:spPr>
          <a:xfrm>
            <a:off x="1546860" y="1189771"/>
            <a:ext cx="1996440" cy="292975"/>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chemeClr val="bg1"/>
                </a:solidFill>
                <a:latin typeface="Aharoni" panose="02010803020104030203" pitchFamily="2" charset="-79"/>
                <a:ea typeface="Calibri"/>
                <a:cs typeface="Aharoni" panose="02010803020104030203" pitchFamily="2" charset="-79"/>
              </a:rPr>
              <a:t>Lucro</a:t>
            </a:r>
          </a:p>
        </xdr:txBody>
      </xdr:sp>
    </xdr:grpSp>
    <xdr:clientData/>
  </xdr:twoCellAnchor>
  <xdr:twoCellAnchor>
    <xdr:from>
      <xdr:col>0</xdr:col>
      <xdr:colOff>131064</xdr:colOff>
      <xdr:row>9</xdr:row>
      <xdr:rowOff>163836</xdr:rowOff>
    </xdr:from>
    <xdr:to>
      <xdr:col>2</xdr:col>
      <xdr:colOff>689937</xdr:colOff>
      <xdr:row>14</xdr:row>
      <xdr:rowOff>15695</xdr:rowOff>
    </xdr:to>
    <xdr:grpSp>
      <xdr:nvGrpSpPr>
        <xdr:cNvPr id="10" name="Group 9">
          <a:extLst>
            <a:ext uri="{FF2B5EF4-FFF2-40B4-BE49-F238E27FC236}">
              <a16:creationId xmlns:a16="http://schemas.microsoft.com/office/drawing/2014/main" id="{7F6FF7A7-B3D1-4CE5-91E2-EDCB189D3910}"/>
            </a:ext>
          </a:extLst>
        </xdr:cNvPr>
        <xdr:cNvGrpSpPr/>
      </xdr:nvGrpSpPr>
      <xdr:grpSpPr>
        <a:xfrm>
          <a:off x="131064" y="1985016"/>
          <a:ext cx="1778073" cy="766259"/>
          <a:chOff x="1539240" y="967740"/>
          <a:chExt cx="2171700" cy="883920"/>
        </a:xfrm>
        <a:solidFill>
          <a:srgbClr val="2F4052"/>
        </a:solidFill>
        <a:effectLst>
          <a:outerShdw blurRad="50800" dist="38100" dir="2700000" algn="tl" rotWithShape="0">
            <a:schemeClr val="bg1">
              <a:alpha val="35000"/>
            </a:schemeClr>
          </a:outerShdw>
        </a:effectLst>
      </xdr:grpSpPr>
      <xdr:grpSp>
        <xdr:nvGrpSpPr>
          <xdr:cNvPr id="11" name="Group 10">
            <a:extLst>
              <a:ext uri="{FF2B5EF4-FFF2-40B4-BE49-F238E27FC236}">
                <a16:creationId xmlns:a16="http://schemas.microsoft.com/office/drawing/2014/main" id="{F036564C-747B-D2ED-EBF1-9924BE60903D}"/>
              </a:ext>
            </a:extLst>
          </xdr:cNvPr>
          <xdr:cNvGrpSpPr/>
        </xdr:nvGrpSpPr>
        <xdr:grpSpPr>
          <a:xfrm>
            <a:off x="1539240" y="967740"/>
            <a:ext cx="2171700" cy="883920"/>
            <a:chOff x="1417320" y="647700"/>
            <a:chExt cx="2171700" cy="883920"/>
          </a:xfrm>
          <a:grpFill/>
        </xdr:grpSpPr>
        <xdr:sp macro="" textlink="TD!A66">
          <xdr:nvSpPr>
            <xdr:cNvPr id="13" name="Rectangle: Rounded Corners 12">
              <a:extLst>
                <a:ext uri="{FF2B5EF4-FFF2-40B4-BE49-F238E27FC236}">
                  <a16:creationId xmlns:a16="http://schemas.microsoft.com/office/drawing/2014/main" id="{36340F2D-48DC-D21F-3922-4A8CB183CB1C}"/>
                </a:ext>
              </a:extLst>
            </xdr:cNvPr>
            <xdr:cNvSpPr/>
          </xdr:nvSpPr>
          <xdr:spPr>
            <a:xfrm>
              <a:off x="1417320" y="647700"/>
              <a:ext cx="2171700" cy="88392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2F26DB3-C6E9-4E13-9DD5-F3330BAE179F}" type="TxLink">
                <a:rPr lang="en-US" sz="2400" b="0" i="0" u="none" strike="noStrike">
                  <a:solidFill>
                    <a:schemeClr val="bg1"/>
                  </a:solidFill>
                  <a:latin typeface="Aharoni" panose="02010803020104030203" pitchFamily="2" charset="-79"/>
                  <a:ea typeface="Calibri"/>
                  <a:cs typeface="Aharoni" panose="02010803020104030203" pitchFamily="2" charset="-79"/>
                </a:rPr>
                <a:pPr marL="0" indent="0" algn="ctr"/>
                <a:t>97 500 €</a:t>
              </a:fld>
              <a:endParaRPr lang="pt-PT" sz="2400" b="0" i="0" u="none" strike="noStrike">
                <a:solidFill>
                  <a:schemeClr val="bg1"/>
                </a:solidFill>
                <a:latin typeface="Aharoni" panose="02010803020104030203" pitchFamily="2" charset="-79"/>
                <a:ea typeface="Calibri"/>
                <a:cs typeface="Aharoni" panose="02010803020104030203" pitchFamily="2" charset="-79"/>
              </a:endParaRPr>
            </a:p>
          </xdr:txBody>
        </xdr:sp>
        <xdr:sp macro="" textlink="TD!A70">
          <xdr:nvSpPr>
            <xdr:cNvPr id="14" name="Rectangle: Rounded Corners 13">
              <a:extLst>
                <a:ext uri="{FF2B5EF4-FFF2-40B4-BE49-F238E27FC236}">
                  <a16:creationId xmlns:a16="http://schemas.microsoft.com/office/drawing/2014/main" id="{7DFE7CE3-0CFE-329B-BD1A-2066592D3B31}"/>
                </a:ext>
              </a:extLst>
            </xdr:cNvPr>
            <xdr:cNvSpPr/>
          </xdr:nvSpPr>
          <xdr:spPr>
            <a:xfrm>
              <a:off x="1883976" y="1191603"/>
              <a:ext cx="1112475" cy="256196"/>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49EEBB0-2545-4667-98D7-E2AA5D1BE3E0}" type="TxLink">
                <a:rPr lang="en-US" sz="1400" b="0" i="0" u="none" strike="noStrike">
                  <a:solidFill>
                    <a:schemeClr val="bg1"/>
                  </a:solidFill>
                  <a:latin typeface="Aharoni" panose="02010803020104030203" pitchFamily="2" charset="-79"/>
                  <a:ea typeface="Calibri"/>
                  <a:cs typeface="Aharoni" panose="02010803020104030203" pitchFamily="2" charset="-79"/>
                </a:rPr>
                <a:pPr algn="ctr"/>
                <a:t>129,55%</a:t>
              </a:fld>
              <a:endParaRPr lang="pt-PT" sz="1400">
                <a:solidFill>
                  <a:schemeClr val="bg1"/>
                </a:solidFill>
                <a:latin typeface="Aharoni" panose="02010803020104030203" pitchFamily="2" charset="-79"/>
                <a:cs typeface="Aharoni" panose="02010803020104030203" pitchFamily="2" charset="-79"/>
              </a:endParaRPr>
            </a:p>
          </xdr:txBody>
        </xdr:sp>
      </xdr:grpSp>
      <xdr:sp macro="" textlink="">
        <xdr:nvSpPr>
          <xdr:cNvPr id="12" name="Rectangle: Rounded Corners 11">
            <a:extLst>
              <a:ext uri="{FF2B5EF4-FFF2-40B4-BE49-F238E27FC236}">
                <a16:creationId xmlns:a16="http://schemas.microsoft.com/office/drawing/2014/main" id="{BCB034DE-8ABC-7FCF-FDA9-1DA9A66EAF5C}"/>
              </a:ext>
            </a:extLst>
          </xdr:cNvPr>
          <xdr:cNvSpPr/>
        </xdr:nvSpPr>
        <xdr:spPr>
          <a:xfrm>
            <a:off x="2091541" y="997191"/>
            <a:ext cx="1114317" cy="260314"/>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0" i="0" u="none" strike="noStrike">
                <a:solidFill>
                  <a:schemeClr val="bg1"/>
                </a:solidFill>
                <a:latin typeface="Aharoni" panose="02010803020104030203" pitchFamily="2" charset="-79"/>
                <a:ea typeface="Calibri"/>
                <a:cs typeface="Aharoni" panose="02010803020104030203" pitchFamily="2" charset="-79"/>
              </a:rPr>
              <a:t>Receita</a:t>
            </a:r>
          </a:p>
        </xdr:txBody>
      </xdr:sp>
    </xdr:grpSp>
    <xdr:clientData/>
  </xdr:twoCellAnchor>
  <xdr:twoCellAnchor>
    <xdr:from>
      <xdr:col>0</xdr:col>
      <xdr:colOff>112777</xdr:colOff>
      <xdr:row>16</xdr:row>
      <xdr:rowOff>178543</xdr:rowOff>
    </xdr:from>
    <xdr:to>
      <xdr:col>3</xdr:col>
      <xdr:colOff>25223</xdr:colOff>
      <xdr:row>20</xdr:row>
      <xdr:rowOff>158806</xdr:rowOff>
    </xdr:to>
    <xdr:grpSp>
      <xdr:nvGrpSpPr>
        <xdr:cNvPr id="15" name="Group 14">
          <a:extLst>
            <a:ext uri="{FF2B5EF4-FFF2-40B4-BE49-F238E27FC236}">
              <a16:creationId xmlns:a16="http://schemas.microsoft.com/office/drawing/2014/main" id="{1FEC2763-04BD-4131-9604-535ECB2167A0}"/>
            </a:ext>
          </a:extLst>
        </xdr:cNvPr>
        <xdr:cNvGrpSpPr/>
      </xdr:nvGrpSpPr>
      <xdr:grpSpPr>
        <a:xfrm>
          <a:off x="112777" y="3279883"/>
          <a:ext cx="1908886" cy="711783"/>
          <a:chOff x="1656808" y="944080"/>
          <a:chExt cx="2171700" cy="913170"/>
        </a:xfrm>
        <a:solidFill>
          <a:srgbClr val="2F4052"/>
        </a:solidFill>
      </xdr:grpSpPr>
      <xdr:grpSp>
        <xdr:nvGrpSpPr>
          <xdr:cNvPr id="16" name="Group 15">
            <a:extLst>
              <a:ext uri="{FF2B5EF4-FFF2-40B4-BE49-F238E27FC236}">
                <a16:creationId xmlns:a16="http://schemas.microsoft.com/office/drawing/2014/main" id="{59F1AEEF-B730-E416-3F06-49AABB995A44}"/>
              </a:ext>
            </a:extLst>
          </xdr:cNvPr>
          <xdr:cNvGrpSpPr/>
        </xdr:nvGrpSpPr>
        <xdr:grpSpPr>
          <a:xfrm>
            <a:off x="1656808" y="973330"/>
            <a:ext cx="2171700" cy="883920"/>
            <a:chOff x="1534888" y="653290"/>
            <a:chExt cx="2171700" cy="883920"/>
          </a:xfrm>
          <a:grpFill/>
        </xdr:grpSpPr>
        <xdr:sp macro="" textlink="TD!A66">
          <xdr:nvSpPr>
            <xdr:cNvPr id="18" name="Rectangle: Rounded Corners 17">
              <a:extLst>
                <a:ext uri="{FF2B5EF4-FFF2-40B4-BE49-F238E27FC236}">
                  <a16:creationId xmlns:a16="http://schemas.microsoft.com/office/drawing/2014/main" id="{BB1BBB30-5C52-6834-D4C5-EC0BB2F239AF}"/>
                </a:ext>
              </a:extLst>
            </xdr:cNvPr>
            <xdr:cNvSpPr/>
          </xdr:nvSpPr>
          <xdr:spPr>
            <a:xfrm>
              <a:off x="1534888" y="653290"/>
              <a:ext cx="2171700" cy="883920"/>
            </a:xfrm>
            <a:prstGeom prst="roundRect">
              <a:avLst/>
            </a:prstGeom>
            <a:grpFill/>
            <a:ln>
              <a:noFill/>
            </a:ln>
            <a:effectLst>
              <a:outerShdw blurRad="50800" dist="38100" dir="2700000" algn="tl" rotWithShape="0">
                <a:schemeClr val="bg1">
                  <a:lumMod val="8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2F26DB3-C6E9-4E13-9DD5-F3330BAE179F}" type="TxLink">
                <a:rPr lang="en-US" sz="2400" b="0" i="0" u="none" strike="noStrike">
                  <a:solidFill>
                    <a:schemeClr val="bg1"/>
                  </a:solidFill>
                  <a:latin typeface="Aharoni" panose="02010803020104030203" pitchFamily="2" charset="-79"/>
                  <a:ea typeface="Calibri"/>
                  <a:cs typeface="Aharoni" panose="02010803020104030203" pitchFamily="2" charset="-79"/>
                </a:rPr>
                <a:pPr marL="0" indent="0" algn="ctr"/>
                <a:t>97 500 €</a:t>
              </a:fld>
              <a:endParaRPr lang="pt-PT" sz="2400" b="0" i="0" u="none" strike="noStrike">
                <a:solidFill>
                  <a:schemeClr val="bg1"/>
                </a:solidFill>
                <a:latin typeface="Aharoni" panose="02010803020104030203" pitchFamily="2" charset="-79"/>
                <a:ea typeface="Calibri"/>
                <a:cs typeface="Aharoni" panose="02010803020104030203" pitchFamily="2" charset="-79"/>
              </a:endParaRPr>
            </a:p>
          </xdr:txBody>
        </xdr:sp>
        <xdr:sp macro="" textlink="TD!A70">
          <xdr:nvSpPr>
            <xdr:cNvPr id="19" name="Rectangle: Rounded Corners 18">
              <a:extLst>
                <a:ext uri="{FF2B5EF4-FFF2-40B4-BE49-F238E27FC236}">
                  <a16:creationId xmlns:a16="http://schemas.microsoft.com/office/drawing/2014/main" id="{20F1C8B0-0370-BD69-2E28-CCAAA13521F9}"/>
                </a:ext>
              </a:extLst>
            </xdr:cNvPr>
            <xdr:cNvSpPr/>
          </xdr:nvSpPr>
          <xdr:spPr>
            <a:xfrm>
              <a:off x="2132085" y="1201569"/>
              <a:ext cx="881745" cy="242603"/>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49EEBB0-2545-4667-98D7-E2AA5D1BE3E0}" type="TxLink">
                <a:rPr lang="en-US" sz="1400" b="0" i="0" u="none" strike="noStrike">
                  <a:solidFill>
                    <a:schemeClr val="bg1"/>
                  </a:solidFill>
                  <a:latin typeface="Aharoni" panose="02010803020104030203" pitchFamily="2" charset="-79"/>
                  <a:ea typeface="Calibri"/>
                  <a:cs typeface="Aharoni" panose="02010803020104030203" pitchFamily="2" charset="-79"/>
                </a:rPr>
                <a:pPr algn="ctr"/>
                <a:t>129,55%</a:t>
              </a:fld>
              <a:endParaRPr lang="pt-PT" sz="1400">
                <a:solidFill>
                  <a:schemeClr val="bg1"/>
                </a:solidFill>
                <a:latin typeface="Aharoni" panose="02010803020104030203" pitchFamily="2" charset="-79"/>
                <a:cs typeface="Aharoni" panose="02010803020104030203" pitchFamily="2" charset="-79"/>
              </a:endParaRPr>
            </a:p>
          </xdr:txBody>
        </xdr:sp>
      </xdr:grpSp>
      <xdr:sp macro="" textlink="">
        <xdr:nvSpPr>
          <xdr:cNvPr id="17" name="Rectangle: Rounded Corners 16">
            <a:extLst>
              <a:ext uri="{FF2B5EF4-FFF2-40B4-BE49-F238E27FC236}">
                <a16:creationId xmlns:a16="http://schemas.microsoft.com/office/drawing/2014/main" id="{9092ABA3-9B50-B6FF-7D10-75620F8EF5F4}"/>
              </a:ext>
            </a:extLst>
          </xdr:cNvPr>
          <xdr:cNvSpPr/>
        </xdr:nvSpPr>
        <xdr:spPr>
          <a:xfrm>
            <a:off x="2369278" y="1005841"/>
            <a:ext cx="1170760" cy="324309"/>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chemeClr val="bg1"/>
                </a:solidFill>
                <a:latin typeface="Aharoni" panose="02010803020104030203" pitchFamily="2" charset="-79"/>
                <a:ea typeface="Calibri"/>
                <a:cs typeface="Aharoni" panose="02010803020104030203" pitchFamily="2" charset="-79"/>
              </a:rPr>
              <a:t>Despesas</a:t>
            </a:r>
            <a:endParaRPr lang="en-US" sz="1200" b="0" i="0" u="none" strike="noStrike">
              <a:solidFill>
                <a:schemeClr val="bg1"/>
              </a:solidFill>
              <a:latin typeface="Aharoni" panose="02010803020104030203" pitchFamily="2" charset="-79"/>
              <a:ea typeface="Calibri"/>
              <a:cs typeface="Aharoni" panose="02010803020104030203" pitchFamily="2" charset="-79"/>
            </a:endParaRPr>
          </a:p>
        </xdr:txBody>
      </xdr:sp>
      <xdr:sp macro="" textlink="">
        <xdr:nvSpPr>
          <xdr:cNvPr id="30" name="Rectangle: Rounded Corners 16">
            <a:extLst>
              <a:ext uri="{FF2B5EF4-FFF2-40B4-BE49-F238E27FC236}">
                <a16:creationId xmlns:a16="http://schemas.microsoft.com/office/drawing/2014/main" id="{E11015C0-E1A4-5F5D-7B63-741E27BFBD62}"/>
              </a:ext>
            </a:extLst>
          </xdr:cNvPr>
          <xdr:cNvSpPr/>
        </xdr:nvSpPr>
        <xdr:spPr>
          <a:xfrm>
            <a:off x="2185029" y="944080"/>
            <a:ext cx="1170760" cy="324309"/>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chemeClr val="bg1"/>
                </a:solidFill>
                <a:latin typeface="Aharoni" panose="02010803020104030203" pitchFamily="2" charset="-79"/>
                <a:ea typeface="Calibri"/>
                <a:cs typeface="Aharoni" panose="02010803020104030203" pitchFamily="2" charset="-79"/>
              </a:rPr>
              <a:t>Despesas</a:t>
            </a:r>
            <a:endParaRPr lang="en-US" sz="1200" b="0" i="0" u="none" strike="noStrike">
              <a:solidFill>
                <a:schemeClr val="bg1"/>
              </a:solidFill>
              <a:latin typeface="Aharoni" panose="02010803020104030203" pitchFamily="2" charset="-79"/>
              <a:ea typeface="Calibri"/>
              <a:cs typeface="Aharoni" panose="02010803020104030203" pitchFamily="2" charset="-79"/>
            </a:endParaRPr>
          </a:p>
        </xdr:txBody>
      </xdr:sp>
    </xdr:grpSp>
    <xdr:clientData/>
  </xdr:twoCellAnchor>
  <xdr:twoCellAnchor>
    <xdr:from>
      <xdr:col>0</xdr:col>
      <xdr:colOff>34472</xdr:colOff>
      <xdr:row>25</xdr:row>
      <xdr:rowOff>67039</xdr:rowOff>
    </xdr:from>
    <xdr:to>
      <xdr:col>2</xdr:col>
      <xdr:colOff>770734</xdr:colOff>
      <xdr:row>30</xdr:row>
      <xdr:rowOff>67686</xdr:rowOff>
    </xdr:to>
    <xdr:grpSp>
      <xdr:nvGrpSpPr>
        <xdr:cNvPr id="20" name="Group 19">
          <a:extLst>
            <a:ext uri="{FF2B5EF4-FFF2-40B4-BE49-F238E27FC236}">
              <a16:creationId xmlns:a16="http://schemas.microsoft.com/office/drawing/2014/main" id="{DE4CFBA1-2E84-4C4A-A3CC-195E33C7B24B}"/>
            </a:ext>
          </a:extLst>
        </xdr:cNvPr>
        <xdr:cNvGrpSpPr/>
      </xdr:nvGrpSpPr>
      <xdr:grpSpPr>
        <a:xfrm>
          <a:off x="34472" y="4814299"/>
          <a:ext cx="1955462" cy="915047"/>
          <a:chOff x="1580804" y="948812"/>
          <a:chExt cx="2171700" cy="883920"/>
        </a:xfrm>
        <a:solidFill>
          <a:srgbClr val="2F4052"/>
        </a:solidFill>
      </xdr:grpSpPr>
      <xdr:grpSp>
        <xdr:nvGrpSpPr>
          <xdr:cNvPr id="21" name="Group 20">
            <a:extLst>
              <a:ext uri="{FF2B5EF4-FFF2-40B4-BE49-F238E27FC236}">
                <a16:creationId xmlns:a16="http://schemas.microsoft.com/office/drawing/2014/main" id="{E04D96C7-9F89-7985-59EE-668D5EEFF561}"/>
              </a:ext>
            </a:extLst>
          </xdr:cNvPr>
          <xdr:cNvGrpSpPr/>
        </xdr:nvGrpSpPr>
        <xdr:grpSpPr>
          <a:xfrm>
            <a:off x="1580804" y="948812"/>
            <a:ext cx="2171700" cy="883920"/>
            <a:chOff x="1458884" y="628772"/>
            <a:chExt cx="2171700" cy="883920"/>
          </a:xfrm>
          <a:grpFill/>
        </xdr:grpSpPr>
        <xdr:sp macro="" textlink="TD!A66">
          <xdr:nvSpPr>
            <xdr:cNvPr id="23" name="Rectangle: Rounded Corners 22">
              <a:extLst>
                <a:ext uri="{FF2B5EF4-FFF2-40B4-BE49-F238E27FC236}">
                  <a16:creationId xmlns:a16="http://schemas.microsoft.com/office/drawing/2014/main" id="{9F1CE1E1-94E3-52B0-3B9D-88DB92F2BA5D}"/>
                </a:ext>
              </a:extLst>
            </xdr:cNvPr>
            <xdr:cNvSpPr/>
          </xdr:nvSpPr>
          <xdr:spPr>
            <a:xfrm>
              <a:off x="1458884" y="628772"/>
              <a:ext cx="2171700" cy="883920"/>
            </a:xfrm>
            <a:prstGeom prst="roundRect">
              <a:avLst/>
            </a:prstGeom>
            <a:grpFill/>
            <a:ln>
              <a:noFill/>
            </a:ln>
            <a:effectLst>
              <a:outerShdw blurRad="50800" dist="38100" dir="2700000" algn="tl" rotWithShape="0">
                <a:schemeClr val="bg1">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2F26DB3-C6E9-4E13-9DD5-F3330BAE179F}" type="TxLink">
                <a:rPr lang="en-US" sz="2400" b="0" i="0" u="none" strike="noStrike">
                  <a:solidFill>
                    <a:schemeClr val="bg1"/>
                  </a:solidFill>
                  <a:latin typeface="Aharoni" panose="02010803020104030203" pitchFamily="2" charset="-79"/>
                  <a:ea typeface="Calibri"/>
                  <a:cs typeface="Aharoni" panose="02010803020104030203" pitchFamily="2" charset="-79"/>
                </a:rPr>
                <a:pPr marL="0" indent="0" algn="ctr"/>
                <a:t>97 500 €</a:t>
              </a:fld>
              <a:endParaRPr lang="pt-PT" sz="2400" b="0" i="0" u="none" strike="noStrike">
                <a:solidFill>
                  <a:schemeClr val="bg1"/>
                </a:solidFill>
                <a:latin typeface="Aharoni" panose="02010803020104030203" pitchFamily="2" charset="-79"/>
                <a:ea typeface="Calibri"/>
                <a:cs typeface="Aharoni" panose="02010803020104030203" pitchFamily="2" charset="-79"/>
              </a:endParaRPr>
            </a:p>
          </xdr:txBody>
        </xdr:sp>
        <xdr:sp macro="" textlink="TD!A70">
          <xdr:nvSpPr>
            <xdr:cNvPr id="24" name="Rectangle: Rounded Corners 23">
              <a:extLst>
                <a:ext uri="{FF2B5EF4-FFF2-40B4-BE49-F238E27FC236}">
                  <a16:creationId xmlns:a16="http://schemas.microsoft.com/office/drawing/2014/main" id="{FC152AD5-D87B-B593-9BF5-18B6062BC1F3}"/>
                </a:ext>
              </a:extLst>
            </xdr:cNvPr>
            <xdr:cNvSpPr/>
          </xdr:nvSpPr>
          <xdr:spPr>
            <a:xfrm>
              <a:off x="1990205" y="1141689"/>
              <a:ext cx="1016924" cy="225274"/>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49EEBB0-2545-4667-98D7-E2AA5D1BE3E0}" type="TxLink">
                <a:rPr lang="en-US" sz="1400" b="0" i="0" u="none" strike="noStrike">
                  <a:solidFill>
                    <a:schemeClr val="bg1"/>
                  </a:solidFill>
                  <a:latin typeface="Aharoni" panose="02010803020104030203" pitchFamily="2" charset="-79"/>
                  <a:ea typeface="Calibri"/>
                  <a:cs typeface="Aharoni" panose="02010803020104030203" pitchFamily="2" charset="-79"/>
                </a:rPr>
                <a:pPr algn="ctr"/>
                <a:t>129,55%</a:t>
              </a:fld>
              <a:endParaRPr lang="pt-PT" sz="1400">
                <a:solidFill>
                  <a:schemeClr val="bg1"/>
                </a:solidFill>
                <a:latin typeface="Aharoni" panose="02010803020104030203" pitchFamily="2" charset="-79"/>
                <a:cs typeface="Aharoni" panose="02010803020104030203" pitchFamily="2" charset="-79"/>
              </a:endParaRPr>
            </a:p>
          </xdr:txBody>
        </xdr:sp>
      </xdr:grpSp>
      <xdr:sp macro="" textlink="">
        <xdr:nvSpPr>
          <xdr:cNvPr id="22" name="Rectangle: Rounded Corners 21">
            <a:extLst>
              <a:ext uri="{FF2B5EF4-FFF2-40B4-BE49-F238E27FC236}">
                <a16:creationId xmlns:a16="http://schemas.microsoft.com/office/drawing/2014/main" id="{68FD8B88-4FCB-8E15-4681-54EE32A40A40}"/>
              </a:ext>
            </a:extLst>
          </xdr:cNvPr>
          <xdr:cNvSpPr/>
        </xdr:nvSpPr>
        <xdr:spPr>
          <a:xfrm>
            <a:off x="2069114" y="999531"/>
            <a:ext cx="1122218" cy="271058"/>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chemeClr val="bg1"/>
                </a:solidFill>
                <a:latin typeface="Aharoni" panose="02010803020104030203" pitchFamily="2" charset="-79"/>
                <a:ea typeface="Calibri"/>
                <a:cs typeface="Aharoni" panose="02010803020104030203" pitchFamily="2" charset="-79"/>
              </a:rPr>
              <a:t>Stock</a:t>
            </a:r>
          </a:p>
        </xdr:txBody>
      </xdr:sp>
    </xdr:grpSp>
    <xdr:clientData/>
  </xdr:twoCellAnchor>
  <xdr:twoCellAnchor editAs="oneCell">
    <xdr:from>
      <xdr:col>20</xdr:col>
      <xdr:colOff>514152</xdr:colOff>
      <xdr:row>2</xdr:row>
      <xdr:rowOff>21658</xdr:rowOff>
    </xdr:from>
    <xdr:to>
      <xdr:col>22</xdr:col>
      <xdr:colOff>403827</xdr:colOff>
      <xdr:row>12</xdr:row>
      <xdr:rowOff>36898</xdr:rowOff>
    </xdr:to>
    <mc:AlternateContent xmlns:mc="http://schemas.openxmlformats.org/markup-compatibility/2006" xmlns:a14="http://schemas.microsoft.com/office/drawing/2010/main">
      <mc:Choice Requires="a14">
        <xdr:graphicFrame macro="">
          <xdr:nvGraphicFramePr>
            <xdr:cNvPr id="25" name="Cor 3">
              <a:extLst>
                <a:ext uri="{FF2B5EF4-FFF2-40B4-BE49-F238E27FC236}">
                  <a16:creationId xmlns:a16="http://schemas.microsoft.com/office/drawing/2014/main" id="{4F926132-FE3F-4ED8-B4C2-20A50679088C}"/>
                </a:ext>
              </a:extLst>
            </xdr:cNvPr>
            <xdr:cNvGraphicFramePr/>
          </xdr:nvGraphicFramePr>
          <xdr:xfrm>
            <a:off x="0" y="0"/>
            <a:ext cx="0" cy="0"/>
          </xdr:xfrm>
          <a:graphic>
            <a:graphicData uri="http://schemas.microsoft.com/office/drawing/2010/slicer">
              <sle:slicer xmlns:sle="http://schemas.microsoft.com/office/drawing/2010/slicer" name="Cor 3"/>
            </a:graphicData>
          </a:graphic>
        </xdr:graphicFrame>
      </mc:Choice>
      <mc:Fallback xmlns="">
        <xdr:sp macro="" textlink="">
          <xdr:nvSpPr>
            <xdr:cNvPr id="0" name=""/>
            <xdr:cNvSpPr>
              <a:spLocks noTextEdit="1"/>
            </xdr:cNvSpPr>
          </xdr:nvSpPr>
          <xdr:spPr>
            <a:xfrm>
              <a:off x="12873792" y="562678"/>
              <a:ext cx="1108875" cy="1844040"/>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twoCellAnchor>
    <xdr:from>
      <xdr:col>3</xdr:col>
      <xdr:colOff>273274</xdr:colOff>
      <xdr:row>2</xdr:row>
      <xdr:rowOff>30327</xdr:rowOff>
    </xdr:from>
    <xdr:to>
      <xdr:col>9</xdr:col>
      <xdr:colOff>205740</xdr:colOff>
      <xdr:row>14</xdr:row>
      <xdr:rowOff>59635</xdr:rowOff>
    </xdr:to>
    <xdr:graphicFrame macro="">
      <xdr:nvGraphicFramePr>
        <xdr:cNvPr id="26" name="Chart 25">
          <a:extLst>
            <a:ext uri="{FF2B5EF4-FFF2-40B4-BE49-F238E27FC236}">
              <a16:creationId xmlns:a16="http://schemas.microsoft.com/office/drawing/2014/main" id="{1F1FE0B5-6005-4EC1-AD5E-873FED678B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396239</xdr:colOff>
      <xdr:row>2</xdr:row>
      <xdr:rowOff>39757</xdr:rowOff>
    </xdr:from>
    <xdr:to>
      <xdr:col>19</xdr:col>
      <xdr:colOff>228599</xdr:colOff>
      <xdr:row>14</xdr:row>
      <xdr:rowOff>72888</xdr:rowOff>
    </xdr:to>
    <xdr:graphicFrame macro="">
      <xdr:nvGraphicFramePr>
        <xdr:cNvPr id="27" name="Chart 26">
          <a:extLst>
            <a:ext uri="{FF2B5EF4-FFF2-40B4-BE49-F238E27FC236}">
              <a16:creationId xmlns:a16="http://schemas.microsoft.com/office/drawing/2014/main" id="{8DD172CE-C5BA-47F3-A19C-39F0380909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296186</xdr:colOff>
      <xdr:row>15</xdr:row>
      <xdr:rowOff>112974</xdr:rowOff>
    </xdr:from>
    <xdr:to>
      <xdr:col>9</xdr:col>
      <xdr:colOff>219986</xdr:colOff>
      <xdr:row>30</xdr:row>
      <xdr:rowOff>53788</xdr:rowOff>
    </xdr:to>
    <xdr:graphicFrame macro="">
      <xdr:nvGraphicFramePr>
        <xdr:cNvPr id="28" name="Chart 27">
          <a:extLst>
            <a:ext uri="{FF2B5EF4-FFF2-40B4-BE49-F238E27FC236}">
              <a16:creationId xmlns:a16="http://schemas.microsoft.com/office/drawing/2014/main" id="{5424D8F6-D30B-4D93-8406-F10DC9AD9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0</xdr:col>
      <xdr:colOff>137160</xdr:colOff>
      <xdr:row>0</xdr:row>
      <xdr:rowOff>60960</xdr:rowOff>
    </xdr:from>
    <xdr:ext cx="1546898" cy="328295"/>
    <xdr:sp macro="" textlink="">
      <xdr:nvSpPr>
        <xdr:cNvPr id="6" name="CaixaDeTexto 5">
          <a:extLst>
            <a:ext uri="{FF2B5EF4-FFF2-40B4-BE49-F238E27FC236}">
              <a16:creationId xmlns:a16="http://schemas.microsoft.com/office/drawing/2014/main" id="{D40E2A39-A83E-2CC4-177C-BC08123BBDCF}"/>
            </a:ext>
          </a:extLst>
        </xdr:cNvPr>
        <xdr:cNvSpPr txBox="1"/>
      </xdr:nvSpPr>
      <xdr:spPr>
        <a:xfrm>
          <a:off x="137160" y="60960"/>
          <a:ext cx="154689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600" b="1">
              <a:solidFill>
                <a:schemeClr val="bg2">
                  <a:lumMod val="50000"/>
                </a:schemeClr>
              </a:solidFill>
              <a:latin typeface="Times New Roman" panose="02020603050405020304" pitchFamily="18" charset="0"/>
              <a:cs typeface="Times New Roman" panose="02020603050405020304" pitchFamily="18" charset="0"/>
            </a:rPr>
            <a:t>VUATA ZAYA</a:t>
          </a:r>
        </a:p>
      </xdr:txBody>
    </xdr:sp>
    <xdr:clientData/>
  </xdr:oneCellAnchor>
  <xdr:twoCellAnchor editAs="oneCell">
    <xdr:from>
      <xdr:col>22</xdr:col>
      <xdr:colOff>450572</xdr:colOff>
      <xdr:row>0</xdr:row>
      <xdr:rowOff>19876</xdr:rowOff>
    </xdr:from>
    <xdr:to>
      <xdr:col>23</xdr:col>
      <xdr:colOff>165651</xdr:colOff>
      <xdr:row>0</xdr:row>
      <xdr:rowOff>344555</xdr:rowOff>
    </xdr:to>
    <xdr:pic macro="[0]!Limpar_filtros">
      <xdr:nvPicPr>
        <xdr:cNvPr id="29" name="Gráfico 28" descr="Renovação (casa com brilhos) com preenchimento sólido">
          <a:extLst>
            <a:ext uri="{FF2B5EF4-FFF2-40B4-BE49-F238E27FC236}">
              <a16:creationId xmlns:a16="http://schemas.microsoft.com/office/drawing/2014/main" id="{6C28A3E9-63AC-F77E-F685-414C188994B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027424" y="19876"/>
          <a:ext cx="324679" cy="324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236220</xdr:colOff>
      <xdr:row>0</xdr:row>
      <xdr:rowOff>152400</xdr:rowOff>
    </xdr:from>
    <xdr:to>
      <xdr:col>8</xdr:col>
      <xdr:colOff>502920</xdr:colOff>
      <xdr:row>2</xdr:row>
      <xdr:rowOff>53340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C12FE3AE-0255-41FC-A453-6D93F665853C}"/>
            </a:ext>
          </a:extLst>
        </xdr:cNvPr>
        <xdr:cNvSpPr/>
      </xdr:nvSpPr>
      <xdr:spPr>
        <a:xfrm>
          <a:off x="9486900" y="152400"/>
          <a:ext cx="876300" cy="28194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487680</xdr:colOff>
      <xdr:row>0</xdr:row>
      <xdr:rowOff>0</xdr:rowOff>
    </xdr:from>
    <xdr:to>
      <xdr:col>7</xdr:col>
      <xdr:colOff>144780</xdr:colOff>
      <xdr:row>1</xdr:row>
      <xdr:rowOff>99060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F7227666-A1CF-4282-6487-7BD6247C0941}"/>
            </a:ext>
          </a:extLst>
        </xdr:cNvPr>
        <xdr:cNvSpPr/>
      </xdr:nvSpPr>
      <xdr:spPr>
        <a:xfrm>
          <a:off x="4983480" y="0"/>
          <a:ext cx="876300" cy="28194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480060</xdr:colOff>
      <xdr:row>0</xdr:row>
      <xdr:rowOff>99060</xdr:rowOff>
    </xdr:from>
    <xdr:to>
      <xdr:col>10</xdr:col>
      <xdr:colOff>137160</xdr:colOff>
      <xdr:row>1</xdr:row>
      <xdr:rowOff>190500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B5E68E01-75B2-4EF3-98A1-7F3442552C46}"/>
            </a:ext>
          </a:extLst>
        </xdr:cNvPr>
        <xdr:cNvSpPr/>
      </xdr:nvSpPr>
      <xdr:spPr>
        <a:xfrm>
          <a:off x="6385560" y="99060"/>
          <a:ext cx="876300" cy="28194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495300</xdr:colOff>
      <xdr:row>0</xdr:row>
      <xdr:rowOff>152400</xdr:rowOff>
    </xdr:from>
    <xdr:to>
      <xdr:col>7</xdr:col>
      <xdr:colOff>152400</xdr:colOff>
      <xdr:row>2</xdr:row>
      <xdr:rowOff>53340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D2CA44A-7EE5-4CB2-AEA5-F7D8EA4E3F84}"/>
            </a:ext>
          </a:extLst>
        </xdr:cNvPr>
        <xdr:cNvSpPr/>
      </xdr:nvSpPr>
      <xdr:spPr>
        <a:xfrm>
          <a:off x="7216140" y="152400"/>
          <a:ext cx="876300" cy="28194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t>MENU</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601579</xdr:colOff>
      <xdr:row>31</xdr:row>
      <xdr:rowOff>160422</xdr:rowOff>
    </xdr:to>
    <xdr:pic>
      <xdr:nvPicPr>
        <xdr:cNvPr id="16" name="Imagem 15">
          <a:extLst>
            <a:ext uri="{FF2B5EF4-FFF2-40B4-BE49-F238E27FC236}">
              <a16:creationId xmlns:a16="http://schemas.microsoft.com/office/drawing/2014/main" id="{F26DD95A-34DD-988A-668C-C6C2EEF24FF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l="3817" t="-195" r="30725" b="17934"/>
        <a:stretch>
          <a:fillRect/>
        </a:stretch>
      </xdr:blipFill>
      <xdr:spPr>
        <a:xfrm>
          <a:off x="0" y="0"/>
          <a:ext cx="3039979" cy="6023811"/>
        </a:xfrm>
        <a:prstGeom prst="rect">
          <a:avLst/>
        </a:prstGeom>
      </xdr:spPr>
    </xdr:pic>
    <xdr:clientData/>
  </xdr:twoCellAnchor>
  <xdr:twoCellAnchor>
    <xdr:from>
      <xdr:col>1</xdr:col>
      <xdr:colOff>197427</xdr:colOff>
      <xdr:row>5</xdr:row>
      <xdr:rowOff>176645</xdr:rowOff>
    </xdr:from>
    <xdr:to>
      <xdr:col>3</xdr:col>
      <xdr:colOff>512618</xdr:colOff>
      <xdr:row>8</xdr:row>
      <xdr:rowOff>55418</xdr:rowOff>
    </xdr:to>
    <xdr:sp macro="" textlink="">
      <xdr:nvSpPr>
        <xdr:cNvPr id="24" name="Retângulo: Cantos Arredondados 23">
          <a:extLst>
            <a:ext uri="{FF2B5EF4-FFF2-40B4-BE49-F238E27FC236}">
              <a16:creationId xmlns:a16="http://schemas.microsoft.com/office/drawing/2014/main" id="{6EDD9F9F-4984-FC8A-DA91-740A2BEB27B4}"/>
            </a:ext>
          </a:extLst>
        </xdr:cNvPr>
        <xdr:cNvSpPr/>
      </xdr:nvSpPr>
      <xdr:spPr>
        <a:xfrm>
          <a:off x="807027" y="1094509"/>
          <a:ext cx="1534391" cy="429491"/>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AO" sz="1100"/>
        </a:p>
      </xdr:txBody>
    </xdr:sp>
    <xdr:clientData/>
  </xdr:twoCellAnchor>
  <xdr:twoCellAnchor editAs="absolute">
    <xdr:from>
      <xdr:col>1</xdr:col>
      <xdr:colOff>144780</xdr:colOff>
      <xdr:row>2</xdr:row>
      <xdr:rowOff>22860</xdr:rowOff>
    </xdr:from>
    <xdr:to>
      <xdr:col>4</xdr:col>
      <xdr:colOff>190500</xdr:colOff>
      <xdr:row>4</xdr:row>
      <xdr:rowOff>137160</xdr:rowOff>
    </xdr:to>
    <xdr:sp macro="" textlink="">
      <xdr:nvSpPr>
        <xdr:cNvPr id="3" name="Retângulo: Cantos Arredondados 2">
          <a:hlinkClick xmlns:r="http://schemas.openxmlformats.org/officeDocument/2006/relationships" r:id="rId3"/>
          <a:extLst>
            <a:ext uri="{FF2B5EF4-FFF2-40B4-BE49-F238E27FC236}">
              <a16:creationId xmlns:a16="http://schemas.microsoft.com/office/drawing/2014/main" id="{7DF67537-75E7-F4DB-D834-A218ABE5C501}"/>
            </a:ext>
          </a:extLst>
        </xdr:cNvPr>
        <xdr:cNvSpPr/>
      </xdr:nvSpPr>
      <xdr:spPr>
        <a:xfrm>
          <a:off x="754380" y="388620"/>
          <a:ext cx="1874520" cy="480060"/>
        </a:xfrm>
        <a:prstGeom prst="round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AO" sz="1100"/>
        </a:p>
      </xdr:txBody>
    </xdr:sp>
    <xdr:clientData/>
  </xdr:twoCellAnchor>
  <xdr:twoCellAnchor>
    <xdr:from>
      <xdr:col>2</xdr:col>
      <xdr:colOff>30479</xdr:colOff>
      <xdr:row>2</xdr:row>
      <xdr:rowOff>83820</xdr:rowOff>
    </xdr:from>
    <xdr:to>
      <xdr:col>3</xdr:col>
      <xdr:colOff>345830</xdr:colOff>
      <xdr:row>4</xdr:row>
      <xdr:rowOff>60960</xdr:rowOff>
    </xdr:to>
    <xdr:sp macro="" textlink="" fLocksText="0">
      <xdr:nvSpPr>
        <xdr:cNvPr id="5" name="CaixaDeTexto 4">
          <a:hlinkClick xmlns:r="http://schemas.openxmlformats.org/officeDocument/2006/relationships" r:id="rId4"/>
          <a:extLst>
            <a:ext uri="{FF2B5EF4-FFF2-40B4-BE49-F238E27FC236}">
              <a16:creationId xmlns:a16="http://schemas.microsoft.com/office/drawing/2014/main" id="{F99AA731-D6FE-FF7F-BBB7-DF68E5556429}"/>
            </a:ext>
          </a:extLst>
        </xdr:cNvPr>
        <xdr:cNvSpPr txBox="1"/>
      </xdr:nvSpPr>
      <xdr:spPr>
        <a:xfrm>
          <a:off x="1249679" y="447235"/>
          <a:ext cx="924951" cy="340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600" b="1">
              <a:solidFill>
                <a:schemeClr val="bg1"/>
              </a:solidFill>
              <a:latin typeface="+mn-lt"/>
              <a:cs typeface="Aharoni" panose="020F0502020204030204" pitchFamily="2" charset="-79"/>
            </a:rPr>
            <a:t>STOCK D</a:t>
          </a:r>
          <a:endParaRPr lang="pt-AO" sz="1200" b="1">
            <a:solidFill>
              <a:schemeClr val="bg1"/>
            </a:solidFill>
            <a:latin typeface="+mn-lt"/>
            <a:cs typeface="Aharoni" panose="020F0502020204030204" pitchFamily="2" charset="-79"/>
          </a:endParaRPr>
        </a:p>
      </xdr:txBody>
    </xdr:sp>
    <xdr:clientData/>
  </xdr:twoCellAnchor>
  <xdr:twoCellAnchor editAs="oneCell">
    <xdr:from>
      <xdr:col>1</xdr:col>
      <xdr:colOff>220980</xdr:colOff>
      <xdr:row>2</xdr:row>
      <xdr:rowOff>7620</xdr:rowOff>
    </xdr:from>
    <xdr:to>
      <xdr:col>2</xdr:col>
      <xdr:colOff>83820</xdr:colOff>
      <xdr:row>4</xdr:row>
      <xdr:rowOff>114300</xdr:rowOff>
    </xdr:to>
    <xdr:pic>
      <xdr:nvPicPr>
        <xdr:cNvPr id="7" name="Gráfico 6" descr="Caixa de verificação assinalada com preenchimento sólido">
          <a:extLst>
            <a:ext uri="{FF2B5EF4-FFF2-40B4-BE49-F238E27FC236}">
              <a16:creationId xmlns:a16="http://schemas.microsoft.com/office/drawing/2014/main" id="{651A241E-9AA1-00CF-B086-1E1428D6B7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30580" y="373380"/>
          <a:ext cx="472440" cy="472440"/>
        </a:xfrm>
        <a:prstGeom prst="rect">
          <a:avLst/>
        </a:prstGeom>
      </xdr:spPr>
    </xdr:pic>
    <xdr:clientData/>
  </xdr:twoCellAnchor>
  <xdr:twoCellAnchor editAs="absolute">
    <xdr:from>
      <xdr:col>1</xdr:col>
      <xdr:colOff>173182</xdr:colOff>
      <xdr:row>5</xdr:row>
      <xdr:rowOff>114298</xdr:rowOff>
    </xdr:from>
    <xdr:to>
      <xdr:col>3</xdr:col>
      <xdr:colOff>588818</xdr:colOff>
      <xdr:row>8</xdr:row>
      <xdr:rowOff>72188</xdr:rowOff>
    </xdr:to>
    <xdr:sp macro="" textlink="">
      <xdr:nvSpPr>
        <xdr:cNvPr id="25" name="Retângulo: Cantos Arredondados 24">
          <a:hlinkClick xmlns:r="http://schemas.openxmlformats.org/officeDocument/2006/relationships" r:id="rId7"/>
          <a:extLst>
            <a:ext uri="{FF2B5EF4-FFF2-40B4-BE49-F238E27FC236}">
              <a16:creationId xmlns:a16="http://schemas.microsoft.com/office/drawing/2014/main" id="{8F2DA261-DD1E-FF12-627C-035CC83B630C}"/>
            </a:ext>
          </a:extLst>
        </xdr:cNvPr>
        <xdr:cNvSpPr/>
      </xdr:nvSpPr>
      <xdr:spPr>
        <a:xfrm>
          <a:off x="782782" y="1036719"/>
          <a:ext cx="1634836" cy="51134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AO" sz="1100"/>
        </a:p>
      </xdr:txBody>
    </xdr:sp>
    <xdr:clientData/>
  </xdr:twoCellAnchor>
  <xdr:twoCellAnchor editAs="oneCell">
    <xdr:from>
      <xdr:col>1</xdr:col>
      <xdr:colOff>285702</xdr:colOff>
      <xdr:row>5</xdr:row>
      <xdr:rowOff>181990</xdr:rowOff>
    </xdr:from>
    <xdr:to>
      <xdr:col>1</xdr:col>
      <xdr:colOff>594856</xdr:colOff>
      <xdr:row>7</xdr:row>
      <xdr:rowOff>124692</xdr:rowOff>
    </xdr:to>
    <xdr:pic>
      <xdr:nvPicPr>
        <xdr:cNvPr id="17" name="Gráfico 16" descr="Quiosque destaque">
          <a:extLst>
            <a:ext uri="{FF2B5EF4-FFF2-40B4-BE49-F238E27FC236}">
              <a16:creationId xmlns:a16="http://schemas.microsoft.com/office/drawing/2014/main" id="{20825971-28E3-F5CE-10D7-63E1D10C8E3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95302" y="1099854"/>
          <a:ext cx="309154" cy="309847"/>
        </a:xfrm>
        <a:prstGeom prst="rect">
          <a:avLst/>
        </a:prstGeom>
      </xdr:spPr>
    </xdr:pic>
    <xdr:clientData/>
  </xdr:twoCellAnchor>
  <xdr:twoCellAnchor>
    <xdr:from>
      <xdr:col>1</xdr:col>
      <xdr:colOff>582584</xdr:colOff>
      <xdr:row>5</xdr:row>
      <xdr:rowOff>153785</xdr:rowOff>
    </xdr:from>
    <xdr:to>
      <xdr:col>3</xdr:col>
      <xdr:colOff>285404</xdr:colOff>
      <xdr:row>7</xdr:row>
      <xdr:rowOff>176646</xdr:rowOff>
    </xdr:to>
    <xdr:sp macro="" textlink="">
      <xdr:nvSpPr>
        <xdr:cNvPr id="11" name="CaixaDeTexto 10">
          <a:hlinkClick xmlns:r="http://schemas.openxmlformats.org/officeDocument/2006/relationships" r:id="rId7"/>
          <a:extLst>
            <a:ext uri="{FF2B5EF4-FFF2-40B4-BE49-F238E27FC236}">
              <a16:creationId xmlns:a16="http://schemas.microsoft.com/office/drawing/2014/main" id="{8027B9D5-4C03-43B8-B8D8-F85118C81A1A}"/>
            </a:ext>
          </a:extLst>
        </xdr:cNvPr>
        <xdr:cNvSpPr txBox="1"/>
      </xdr:nvSpPr>
      <xdr:spPr>
        <a:xfrm>
          <a:off x="1192184" y="1071649"/>
          <a:ext cx="922020" cy="390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600" b="1">
              <a:solidFill>
                <a:schemeClr val="bg1"/>
              </a:solidFill>
            </a:rPr>
            <a:t>VENDAS</a:t>
          </a:r>
          <a:endParaRPr lang="pt-AO" sz="1100" b="1">
            <a:solidFill>
              <a:schemeClr val="bg1"/>
            </a:solidFill>
          </a:endParaRPr>
        </a:p>
      </xdr:txBody>
    </xdr:sp>
    <xdr:clientData/>
  </xdr:twoCellAnchor>
  <xdr:twoCellAnchor editAs="absolute">
    <xdr:from>
      <xdr:col>1</xdr:col>
      <xdr:colOff>159327</xdr:colOff>
      <xdr:row>8</xdr:row>
      <xdr:rowOff>103908</xdr:rowOff>
    </xdr:from>
    <xdr:to>
      <xdr:col>3</xdr:col>
      <xdr:colOff>574963</xdr:colOff>
      <xdr:row>10</xdr:row>
      <xdr:rowOff>169718</xdr:rowOff>
    </xdr:to>
    <xdr:sp macro="" textlink="">
      <xdr:nvSpPr>
        <xdr:cNvPr id="28" name="Retângulo: Cantos Arredondados 27">
          <a:hlinkClick xmlns:r="http://schemas.openxmlformats.org/officeDocument/2006/relationships" r:id="rId10"/>
          <a:extLst>
            <a:ext uri="{FF2B5EF4-FFF2-40B4-BE49-F238E27FC236}">
              <a16:creationId xmlns:a16="http://schemas.microsoft.com/office/drawing/2014/main" id="{7A5FAE85-6E4E-4065-BC52-B7C345BE5447}"/>
            </a:ext>
          </a:extLst>
        </xdr:cNvPr>
        <xdr:cNvSpPr/>
      </xdr:nvSpPr>
      <xdr:spPr>
        <a:xfrm>
          <a:off x="768927" y="1572490"/>
          <a:ext cx="1634836" cy="43295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AO" sz="1100"/>
        </a:p>
      </xdr:txBody>
    </xdr:sp>
    <xdr:clientData/>
  </xdr:twoCellAnchor>
  <xdr:twoCellAnchor>
    <xdr:from>
      <xdr:col>1</xdr:col>
      <xdr:colOff>557645</xdr:colOff>
      <xdr:row>8</xdr:row>
      <xdr:rowOff>151905</xdr:rowOff>
    </xdr:from>
    <xdr:to>
      <xdr:col>3</xdr:col>
      <xdr:colOff>458585</xdr:colOff>
      <xdr:row>10</xdr:row>
      <xdr:rowOff>129045</xdr:rowOff>
    </xdr:to>
    <xdr:sp macro="" textlink="">
      <xdr:nvSpPr>
        <xdr:cNvPr id="13" name="CaixaDeTexto 12">
          <a:hlinkClick xmlns:r="http://schemas.openxmlformats.org/officeDocument/2006/relationships" r:id="rId10"/>
          <a:extLst>
            <a:ext uri="{FF2B5EF4-FFF2-40B4-BE49-F238E27FC236}">
              <a16:creationId xmlns:a16="http://schemas.microsoft.com/office/drawing/2014/main" id="{0A8FF3D3-9F88-A2A1-EE2F-13E4FC694F7B}"/>
            </a:ext>
          </a:extLst>
        </xdr:cNvPr>
        <xdr:cNvSpPr txBox="1"/>
      </xdr:nvSpPr>
      <xdr:spPr>
        <a:xfrm>
          <a:off x="1167245" y="1620487"/>
          <a:ext cx="1120140" cy="34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600" b="1">
              <a:solidFill>
                <a:schemeClr val="bg1"/>
              </a:solidFill>
            </a:rPr>
            <a:t>FINANÇAS</a:t>
          </a:r>
          <a:endParaRPr lang="pt-AO" sz="1600" b="1">
            <a:solidFill>
              <a:schemeClr val="bg1"/>
            </a:solidFill>
          </a:endParaRPr>
        </a:p>
      </xdr:txBody>
    </xdr:sp>
    <xdr:clientData/>
  </xdr:twoCellAnchor>
  <xdr:twoCellAnchor editAs="oneCell">
    <xdr:from>
      <xdr:col>1</xdr:col>
      <xdr:colOff>301110</xdr:colOff>
      <xdr:row>8</xdr:row>
      <xdr:rowOff>176450</xdr:rowOff>
    </xdr:from>
    <xdr:to>
      <xdr:col>1</xdr:col>
      <xdr:colOff>559329</xdr:colOff>
      <xdr:row>10</xdr:row>
      <xdr:rowOff>106782</xdr:rowOff>
    </xdr:to>
    <xdr:pic>
      <xdr:nvPicPr>
        <xdr:cNvPr id="19" name="Gráfico 18" descr="Dinheiro com preenchimento sólido">
          <a:extLst>
            <a:ext uri="{FF2B5EF4-FFF2-40B4-BE49-F238E27FC236}">
              <a16:creationId xmlns:a16="http://schemas.microsoft.com/office/drawing/2014/main" id="{4C404A08-5FA0-5D8E-16A1-F7AAB1930ED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0710" y="1645032"/>
          <a:ext cx="258219" cy="297477"/>
        </a:xfrm>
        <a:prstGeom prst="rect">
          <a:avLst/>
        </a:prstGeom>
      </xdr:spPr>
    </xdr:pic>
    <xdr:clientData/>
  </xdr:twoCellAnchor>
  <xdr:twoCellAnchor>
    <xdr:from>
      <xdr:col>1</xdr:col>
      <xdr:colOff>135082</xdr:colOff>
      <xdr:row>11</xdr:row>
      <xdr:rowOff>124688</xdr:rowOff>
    </xdr:from>
    <xdr:to>
      <xdr:col>3</xdr:col>
      <xdr:colOff>550718</xdr:colOff>
      <xdr:row>13</xdr:row>
      <xdr:rowOff>190498</xdr:rowOff>
    </xdr:to>
    <xdr:sp macro="" textlink="">
      <xdr:nvSpPr>
        <xdr:cNvPr id="29" name="Retângulo: Cantos Arredondados 28">
          <a:extLst>
            <a:ext uri="{FF2B5EF4-FFF2-40B4-BE49-F238E27FC236}">
              <a16:creationId xmlns:a16="http://schemas.microsoft.com/office/drawing/2014/main" id="{10CFA028-55D6-4141-B976-2B15CA670330}"/>
            </a:ext>
          </a:extLst>
        </xdr:cNvPr>
        <xdr:cNvSpPr/>
      </xdr:nvSpPr>
      <xdr:spPr>
        <a:xfrm>
          <a:off x="744682" y="2143988"/>
          <a:ext cx="1634836" cy="43295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pt-AO" sz="1100"/>
        </a:p>
      </xdr:txBody>
    </xdr:sp>
    <xdr:clientData/>
  </xdr:twoCellAnchor>
  <xdr:twoCellAnchor editAs="absolute">
    <xdr:from>
      <xdr:col>1</xdr:col>
      <xdr:colOff>273628</xdr:colOff>
      <xdr:row>11</xdr:row>
      <xdr:rowOff>179020</xdr:rowOff>
    </xdr:from>
    <xdr:to>
      <xdr:col>4</xdr:col>
      <xdr:colOff>375953</xdr:colOff>
      <xdr:row>13</xdr:row>
      <xdr:rowOff>180109</xdr:rowOff>
    </xdr:to>
    <xdr:sp macro="" textlink="">
      <xdr:nvSpPr>
        <xdr:cNvPr id="14" name="CaixaDeTexto 13">
          <a:hlinkClick xmlns:r="http://schemas.openxmlformats.org/officeDocument/2006/relationships" r:id="rId13"/>
          <a:extLst>
            <a:ext uri="{FF2B5EF4-FFF2-40B4-BE49-F238E27FC236}">
              <a16:creationId xmlns:a16="http://schemas.microsoft.com/office/drawing/2014/main" id="{8345652C-2F2F-1A27-0852-355A1DCD2AC8}"/>
            </a:ext>
          </a:extLst>
        </xdr:cNvPr>
        <xdr:cNvSpPr txBox="1"/>
      </xdr:nvSpPr>
      <xdr:spPr>
        <a:xfrm>
          <a:off x="883228" y="2198320"/>
          <a:ext cx="1931125" cy="368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400" b="1">
              <a:solidFill>
                <a:schemeClr val="bg1"/>
              </a:solidFill>
            </a:rPr>
            <a:t>      STOCK ACTZ</a:t>
          </a:r>
        </a:p>
        <a:p>
          <a:endParaRPr lang="pt-AO" sz="1400" b="1">
            <a:solidFill>
              <a:schemeClr val="bg1"/>
            </a:solidFill>
          </a:endParaRPr>
        </a:p>
      </xdr:txBody>
    </xdr:sp>
    <xdr:clientData/>
  </xdr:twoCellAnchor>
  <xdr:twoCellAnchor editAs="oneCell">
    <xdr:from>
      <xdr:col>1</xdr:col>
      <xdr:colOff>302324</xdr:colOff>
      <xdr:row>12</xdr:row>
      <xdr:rowOff>24344</xdr:rowOff>
    </xdr:from>
    <xdr:to>
      <xdr:col>1</xdr:col>
      <xdr:colOff>563581</xdr:colOff>
      <xdr:row>13</xdr:row>
      <xdr:rowOff>103415</xdr:rowOff>
    </xdr:to>
    <xdr:pic>
      <xdr:nvPicPr>
        <xdr:cNvPr id="21" name="Gráfico 20" descr="Arquivador com preenchimento sólido">
          <a:extLst>
            <a:ext uri="{FF2B5EF4-FFF2-40B4-BE49-F238E27FC236}">
              <a16:creationId xmlns:a16="http://schemas.microsoft.com/office/drawing/2014/main" id="{EEDA0970-6CA5-932C-E025-9D54BCEBA21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11924" y="2227217"/>
          <a:ext cx="261257" cy="262643"/>
        </a:xfrm>
        <a:prstGeom prst="rect">
          <a:avLst/>
        </a:prstGeom>
      </xdr:spPr>
    </xdr:pic>
    <xdr:clientData/>
  </xdr:twoCellAnchor>
  <xdr:twoCellAnchor editAs="absolute">
    <xdr:from>
      <xdr:col>1</xdr:col>
      <xdr:colOff>145473</xdr:colOff>
      <xdr:row>14</xdr:row>
      <xdr:rowOff>76197</xdr:rowOff>
    </xdr:from>
    <xdr:to>
      <xdr:col>3</xdr:col>
      <xdr:colOff>561109</xdr:colOff>
      <xdr:row>16</xdr:row>
      <xdr:rowOff>142007</xdr:rowOff>
    </xdr:to>
    <xdr:sp macro="" textlink="">
      <xdr:nvSpPr>
        <xdr:cNvPr id="30" name="Retângulo: Cantos Arredondados 29">
          <a:hlinkClick xmlns:r="http://schemas.openxmlformats.org/officeDocument/2006/relationships" r:id="rId16"/>
          <a:extLst>
            <a:ext uri="{FF2B5EF4-FFF2-40B4-BE49-F238E27FC236}">
              <a16:creationId xmlns:a16="http://schemas.microsoft.com/office/drawing/2014/main" id="{ECCDD053-D98B-4B0A-9444-D3A13BAACC2E}"/>
            </a:ext>
          </a:extLst>
        </xdr:cNvPr>
        <xdr:cNvSpPr/>
      </xdr:nvSpPr>
      <xdr:spPr>
        <a:xfrm>
          <a:off x="755073" y="2791688"/>
          <a:ext cx="1634836" cy="43295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pt-PT" sz="1100"/>
            <a:t> </a:t>
          </a:r>
          <a:endParaRPr lang="pt-AO" sz="1100"/>
        </a:p>
      </xdr:txBody>
    </xdr:sp>
    <xdr:clientData/>
  </xdr:twoCellAnchor>
  <xdr:twoCellAnchor>
    <xdr:from>
      <xdr:col>1</xdr:col>
      <xdr:colOff>467195</xdr:colOff>
      <xdr:row>14</xdr:row>
      <xdr:rowOff>116973</xdr:rowOff>
    </xdr:from>
    <xdr:to>
      <xdr:col>3</xdr:col>
      <xdr:colOff>528155</xdr:colOff>
      <xdr:row>16</xdr:row>
      <xdr:rowOff>109354</xdr:rowOff>
    </xdr:to>
    <xdr:sp macro="" textlink="">
      <xdr:nvSpPr>
        <xdr:cNvPr id="15" name="CaixaDeTexto 14">
          <a:hlinkClick xmlns:r="http://schemas.openxmlformats.org/officeDocument/2006/relationships" r:id="rId17"/>
          <a:extLst>
            <a:ext uri="{FF2B5EF4-FFF2-40B4-BE49-F238E27FC236}">
              <a16:creationId xmlns:a16="http://schemas.microsoft.com/office/drawing/2014/main" id="{71E74BE3-C1EF-FD52-55CF-1A27C3B00023}"/>
            </a:ext>
          </a:extLst>
        </xdr:cNvPr>
        <xdr:cNvSpPr txBox="1"/>
      </xdr:nvSpPr>
      <xdr:spPr>
        <a:xfrm>
          <a:off x="1076795" y="2832464"/>
          <a:ext cx="1280160" cy="3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600" b="1">
              <a:solidFill>
                <a:schemeClr val="bg1"/>
              </a:solidFill>
            </a:rPr>
            <a:t>DASHBOARD</a:t>
          </a:r>
          <a:endParaRPr lang="pt-AO" sz="1100" b="1">
            <a:solidFill>
              <a:schemeClr val="bg1"/>
            </a:solidFill>
          </a:endParaRPr>
        </a:p>
      </xdr:txBody>
    </xdr:sp>
    <xdr:clientData/>
  </xdr:twoCellAnchor>
  <xdr:twoCellAnchor editAs="oneCell">
    <xdr:from>
      <xdr:col>1</xdr:col>
      <xdr:colOff>254822</xdr:colOff>
      <xdr:row>14</xdr:row>
      <xdr:rowOff>155372</xdr:rowOff>
    </xdr:from>
    <xdr:to>
      <xdr:col>1</xdr:col>
      <xdr:colOff>537850</xdr:colOff>
      <xdr:row>16</xdr:row>
      <xdr:rowOff>73730</xdr:rowOff>
    </xdr:to>
    <xdr:pic>
      <xdr:nvPicPr>
        <xdr:cNvPr id="23" name="Gráfico 22" descr="Gráfico de barras com tendência ascendente destaque">
          <a:extLst>
            <a:ext uri="{FF2B5EF4-FFF2-40B4-BE49-F238E27FC236}">
              <a16:creationId xmlns:a16="http://schemas.microsoft.com/office/drawing/2014/main" id="{69C6E44D-06CC-568A-EF45-298FC61CC45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4422" y="2870863"/>
          <a:ext cx="283028" cy="285503"/>
        </a:xfrm>
        <a:prstGeom prst="rect">
          <a:avLst/>
        </a:prstGeom>
      </xdr:spPr>
    </xdr:pic>
    <xdr:clientData/>
  </xdr:twoCellAnchor>
  <xdr:twoCellAnchor editAs="absolute">
    <xdr:from>
      <xdr:col>3</xdr:col>
      <xdr:colOff>499456</xdr:colOff>
      <xdr:row>0</xdr:row>
      <xdr:rowOff>0</xdr:rowOff>
    </xdr:from>
    <xdr:to>
      <xdr:col>4</xdr:col>
      <xdr:colOff>590896</xdr:colOff>
      <xdr:row>31</xdr:row>
      <xdr:rowOff>142009</xdr:rowOff>
    </xdr:to>
    <xdr:sp macro="" textlink="">
      <xdr:nvSpPr>
        <xdr:cNvPr id="4" name="Retângulo 3">
          <a:extLst>
            <a:ext uri="{FF2B5EF4-FFF2-40B4-BE49-F238E27FC236}">
              <a16:creationId xmlns:a16="http://schemas.microsoft.com/office/drawing/2014/main" id="{BF4808EB-4766-8580-0B12-D6411747B9A2}"/>
            </a:ext>
          </a:extLst>
        </xdr:cNvPr>
        <xdr:cNvSpPr/>
      </xdr:nvSpPr>
      <xdr:spPr>
        <a:xfrm>
          <a:off x="2328256" y="0"/>
          <a:ext cx="701040" cy="6005398"/>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AO" sz="1100">
            <a:solidFill>
              <a:schemeClr val="bg2">
                <a:lumMod val="75000"/>
              </a:schemeClr>
            </a:solidFill>
          </a:endParaRPr>
        </a:p>
      </xdr:txBody>
    </xdr:sp>
    <xdr:clientData/>
  </xdr:twoCellAnchor>
  <xdr:oneCellAnchor>
    <xdr:from>
      <xdr:col>0</xdr:col>
      <xdr:colOff>0</xdr:colOff>
      <xdr:row>0</xdr:row>
      <xdr:rowOff>8022</xdr:rowOff>
    </xdr:from>
    <xdr:ext cx="2181726" cy="320841"/>
    <xdr:sp macro="" textlink="">
      <xdr:nvSpPr>
        <xdr:cNvPr id="18" name="CaixaDeTexto 17">
          <a:extLst>
            <a:ext uri="{FF2B5EF4-FFF2-40B4-BE49-F238E27FC236}">
              <a16:creationId xmlns:a16="http://schemas.microsoft.com/office/drawing/2014/main" id="{1DC3F1A7-1E9E-2DA2-00F0-E73E08DCA436}"/>
            </a:ext>
          </a:extLst>
        </xdr:cNvPr>
        <xdr:cNvSpPr txBox="1"/>
      </xdr:nvSpPr>
      <xdr:spPr>
        <a:xfrm>
          <a:off x="0" y="8022"/>
          <a:ext cx="2181726" cy="320841"/>
        </a:xfrm>
        <a:prstGeom prst="rect">
          <a:avLst/>
        </a:prstGeom>
        <a:noFill/>
        <a:effectLst>
          <a:outerShdw blurRad="50800" dist="38100" dir="5400000" algn="t" rotWithShape="0">
            <a:schemeClr val="tx1">
              <a:alpha val="91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pt-AO" sz="1400" b="1">
              <a:solidFill>
                <a:schemeClr val="bg2">
                  <a:lumMod val="75000"/>
                </a:schemeClr>
              </a:solidFill>
              <a:effectLst/>
              <a:latin typeface="+mn-lt"/>
              <a:ea typeface="+mn-ea"/>
              <a:cs typeface="+mn-cs"/>
            </a:rPr>
            <a:t>VUATAZAYA - GESTÃO</a:t>
          </a:r>
          <a:endParaRPr lang="pt-PT" sz="1400" b="1">
            <a:solidFill>
              <a:schemeClr val="bg2">
                <a:lumMod val="75000"/>
              </a:schemeClr>
            </a:solidFill>
            <a:effectLst/>
          </a:endParaRPr>
        </a:p>
        <a:p>
          <a:endParaRPr lang="pt-PT" sz="1400" b="1">
            <a:solidFill>
              <a:schemeClr val="bg2">
                <a:lumMod val="75000"/>
              </a:schemeClr>
            </a:solidFill>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17</xdr:col>
      <xdr:colOff>175260</xdr:colOff>
      <xdr:row>24</xdr:row>
      <xdr:rowOff>53340</xdr:rowOff>
    </xdr:from>
    <xdr:to>
      <xdr:col>22</xdr:col>
      <xdr:colOff>655320</xdr:colOff>
      <xdr:row>39</xdr:row>
      <xdr:rowOff>53340</xdr:rowOff>
    </xdr:to>
    <xdr:graphicFrame macro="">
      <xdr:nvGraphicFramePr>
        <xdr:cNvPr id="5" name="Gráfico 4">
          <a:extLst>
            <a:ext uri="{FF2B5EF4-FFF2-40B4-BE49-F238E27FC236}">
              <a16:creationId xmlns:a16="http://schemas.microsoft.com/office/drawing/2014/main" id="{3A74B1B4-EC7E-6875-F29B-CF311CCE6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60960</xdr:colOff>
      <xdr:row>23</xdr:row>
      <xdr:rowOff>45720</xdr:rowOff>
    </xdr:from>
    <xdr:to>
      <xdr:col>13</xdr:col>
      <xdr:colOff>403860</xdr:colOff>
      <xdr:row>38</xdr:row>
      <xdr:rowOff>45720</xdr:rowOff>
    </xdr:to>
    <xdr:graphicFrame macro="">
      <xdr:nvGraphicFramePr>
        <xdr:cNvPr id="6" name="Gráfico 5">
          <a:extLst>
            <a:ext uri="{FF2B5EF4-FFF2-40B4-BE49-F238E27FC236}">
              <a16:creationId xmlns:a16="http://schemas.microsoft.com/office/drawing/2014/main" id="{BFBEE049-E836-D09D-0CD0-F267E4D39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15240</xdr:colOff>
      <xdr:row>1</xdr:row>
      <xdr:rowOff>30480</xdr:rowOff>
    </xdr:from>
    <xdr:to>
      <xdr:col>10</xdr:col>
      <xdr:colOff>22860</xdr:colOff>
      <xdr:row>14</xdr:row>
      <xdr:rowOff>120015</xdr:rowOff>
    </xdr:to>
    <mc:AlternateContent xmlns:mc="http://schemas.openxmlformats.org/markup-compatibility/2006" xmlns:a14="http://schemas.microsoft.com/office/drawing/2010/main">
      <mc:Choice Requires="a14">
        <xdr:graphicFrame macro="">
          <xdr:nvGraphicFramePr>
            <xdr:cNvPr id="7" name="Cor">
              <a:extLst>
                <a:ext uri="{FF2B5EF4-FFF2-40B4-BE49-F238E27FC236}">
                  <a16:creationId xmlns:a16="http://schemas.microsoft.com/office/drawing/2014/main" id="{BE8ADF23-A174-EB9D-C0D0-89C26848FCC7}"/>
                </a:ext>
              </a:extLst>
            </xdr:cNvPr>
            <xdr:cNvGraphicFramePr/>
          </xdr:nvGraphicFramePr>
          <xdr:xfrm>
            <a:off x="0" y="0"/>
            <a:ext cx="0" cy="0"/>
          </xdr:xfrm>
          <a:graphic>
            <a:graphicData uri="http://schemas.microsoft.com/office/drawing/2010/slicer">
              <sle:slicer xmlns:sle="http://schemas.microsoft.com/office/drawing/2010/slicer" name="Cor"/>
            </a:graphicData>
          </a:graphic>
        </xdr:graphicFrame>
      </mc:Choice>
      <mc:Fallback xmlns="">
        <xdr:sp macro="" textlink="">
          <xdr:nvSpPr>
            <xdr:cNvPr id="0" name=""/>
            <xdr:cNvSpPr>
              <a:spLocks noTextEdit="1"/>
            </xdr:cNvSpPr>
          </xdr:nvSpPr>
          <xdr:spPr>
            <a:xfrm>
              <a:off x="6050280" y="213360"/>
              <a:ext cx="1836420" cy="2466975"/>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304800</xdr:colOff>
      <xdr:row>12</xdr:row>
      <xdr:rowOff>129540</xdr:rowOff>
    </xdr:from>
    <xdr:to>
      <xdr:col>25</xdr:col>
      <xdr:colOff>114300</xdr:colOff>
      <xdr:row>26</xdr:row>
      <xdr:rowOff>36195</xdr:rowOff>
    </xdr:to>
    <mc:AlternateContent xmlns:mc="http://schemas.openxmlformats.org/markup-compatibility/2006" xmlns:a14="http://schemas.microsoft.com/office/drawing/2010/main">
      <mc:Choice Requires="a14">
        <xdr:graphicFrame macro="">
          <xdr:nvGraphicFramePr>
            <xdr:cNvPr id="8" name="Tamanho">
              <a:extLst>
                <a:ext uri="{FF2B5EF4-FFF2-40B4-BE49-F238E27FC236}">
                  <a16:creationId xmlns:a16="http://schemas.microsoft.com/office/drawing/2014/main" id="{AEC1C255-1341-0348-0C87-5C6E322D68CE}"/>
                </a:ext>
              </a:extLst>
            </xdr:cNvPr>
            <xdr:cNvGraphicFramePr/>
          </xdr:nvGraphicFramePr>
          <xdr:xfrm>
            <a:off x="0" y="0"/>
            <a:ext cx="0" cy="0"/>
          </xdr:xfrm>
          <a:graphic>
            <a:graphicData uri="http://schemas.microsoft.com/office/drawing/2010/slicer">
              <sle:slicer xmlns:sle="http://schemas.microsoft.com/office/drawing/2010/slicer" name="Tamanho"/>
            </a:graphicData>
          </a:graphic>
        </xdr:graphicFrame>
      </mc:Choice>
      <mc:Fallback xmlns="">
        <xdr:sp macro="" textlink="">
          <xdr:nvSpPr>
            <xdr:cNvPr id="0" name=""/>
            <xdr:cNvSpPr>
              <a:spLocks noTextEdit="1"/>
            </xdr:cNvSpPr>
          </xdr:nvSpPr>
          <xdr:spPr>
            <a:xfrm>
              <a:off x="16756380" y="2324100"/>
              <a:ext cx="1828800" cy="2466975"/>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twoCellAnchor editAs="oneCell">
    <xdr:from>
      <xdr:col>19</xdr:col>
      <xdr:colOff>1295400</xdr:colOff>
      <xdr:row>9</xdr:row>
      <xdr:rowOff>30480</xdr:rowOff>
    </xdr:from>
    <xdr:to>
      <xdr:col>23</xdr:col>
      <xdr:colOff>228600</xdr:colOff>
      <xdr:row>22</xdr:row>
      <xdr:rowOff>120015</xdr:rowOff>
    </xdr:to>
    <mc:AlternateContent xmlns:mc="http://schemas.openxmlformats.org/markup-compatibility/2006" xmlns:a14="http://schemas.microsoft.com/office/drawing/2010/main">
      <mc:Choice Requires="a14">
        <xdr:graphicFrame macro="">
          <xdr:nvGraphicFramePr>
            <xdr:cNvPr id="9" name="Meses (Data)">
              <a:extLst>
                <a:ext uri="{FF2B5EF4-FFF2-40B4-BE49-F238E27FC236}">
                  <a16:creationId xmlns:a16="http://schemas.microsoft.com/office/drawing/2014/main" id="{4425406F-6BD4-B372-53E5-E9AFCB09136A}"/>
                </a:ext>
              </a:extLst>
            </xdr:cNvPr>
            <xdr:cNvGraphicFramePr/>
          </xdr:nvGraphicFramePr>
          <xdr:xfrm>
            <a:off x="0" y="0"/>
            <a:ext cx="0" cy="0"/>
          </xdr:xfrm>
          <a:graphic>
            <a:graphicData uri="http://schemas.microsoft.com/office/drawing/2010/slicer">
              <sle:slicer xmlns:sle="http://schemas.microsoft.com/office/drawing/2010/slicer" name="Meses (Data)"/>
            </a:graphicData>
          </a:graphic>
        </xdr:graphicFrame>
      </mc:Choice>
      <mc:Fallback xmlns="">
        <xdr:sp macro="" textlink="">
          <xdr:nvSpPr>
            <xdr:cNvPr id="0" name=""/>
            <xdr:cNvSpPr>
              <a:spLocks noTextEdit="1"/>
            </xdr:cNvSpPr>
          </xdr:nvSpPr>
          <xdr:spPr>
            <a:xfrm>
              <a:off x="14851380" y="1676400"/>
              <a:ext cx="1828800" cy="2466975"/>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16565</xdr:colOff>
      <xdr:row>0</xdr:row>
      <xdr:rowOff>0</xdr:rowOff>
    </xdr:from>
    <xdr:to>
      <xdr:col>26</xdr:col>
      <xdr:colOff>403412</xdr:colOff>
      <xdr:row>44</xdr:row>
      <xdr:rowOff>67235</xdr:rowOff>
    </xdr:to>
    <xdr:sp macro="" textlink="">
      <xdr:nvSpPr>
        <xdr:cNvPr id="3" name="Retângulo 2">
          <a:extLst>
            <a:ext uri="{FF2B5EF4-FFF2-40B4-BE49-F238E27FC236}">
              <a16:creationId xmlns:a16="http://schemas.microsoft.com/office/drawing/2014/main" id="{76A5741B-3ECA-9DC1-8FCE-2010805E8BB7}"/>
            </a:ext>
          </a:extLst>
        </xdr:cNvPr>
        <xdr:cNvSpPr/>
      </xdr:nvSpPr>
      <xdr:spPr>
        <a:xfrm>
          <a:off x="16565" y="0"/>
          <a:ext cx="16310511" cy="8214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0</xdr:col>
      <xdr:colOff>0</xdr:colOff>
      <xdr:row>0</xdr:row>
      <xdr:rowOff>0</xdr:rowOff>
    </xdr:from>
    <xdr:to>
      <xdr:col>26</xdr:col>
      <xdr:colOff>345281</xdr:colOff>
      <xdr:row>2</xdr:row>
      <xdr:rowOff>175260</xdr:rowOff>
    </xdr:to>
    <xdr:sp macro="" textlink="">
      <xdr:nvSpPr>
        <xdr:cNvPr id="4" name="Retângulo: Cantos Arredondados 3">
          <a:extLst>
            <a:ext uri="{FF2B5EF4-FFF2-40B4-BE49-F238E27FC236}">
              <a16:creationId xmlns:a16="http://schemas.microsoft.com/office/drawing/2014/main" id="{9DB89921-FA92-58B3-6761-57728E0E8421}"/>
            </a:ext>
          </a:extLst>
        </xdr:cNvPr>
        <xdr:cNvSpPr/>
      </xdr:nvSpPr>
      <xdr:spPr>
        <a:xfrm>
          <a:off x="0" y="0"/>
          <a:ext cx="16132969" cy="532448"/>
        </a:xfrm>
        <a:prstGeom prst="roundRect">
          <a:avLst>
            <a:gd name="adj" fmla="val 0"/>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PT" sz="1800" b="1"/>
            <a:t>DASBORD EMPRESA VUATAZAYA</a:t>
          </a:r>
        </a:p>
      </xdr:txBody>
    </xdr:sp>
    <xdr:clientData/>
  </xdr:twoCellAnchor>
  <xdr:twoCellAnchor>
    <xdr:from>
      <xdr:col>9</xdr:col>
      <xdr:colOff>106680</xdr:colOff>
      <xdr:row>2</xdr:row>
      <xdr:rowOff>0</xdr:rowOff>
    </xdr:from>
    <xdr:to>
      <xdr:col>16</xdr:col>
      <xdr:colOff>304800</xdr:colOff>
      <xdr:row>9</xdr:row>
      <xdr:rowOff>121920</xdr:rowOff>
    </xdr:to>
    <xdr:sp macro="" textlink="">
      <xdr:nvSpPr>
        <xdr:cNvPr id="9" name="Seta: Circular 8">
          <a:extLst>
            <a:ext uri="{FF2B5EF4-FFF2-40B4-BE49-F238E27FC236}">
              <a16:creationId xmlns:a16="http://schemas.microsoft.com/office/drawing/2014/main" id="{F71C58DC-E52E-4187-E968-D7CAB22F101C}"/>
            </a:ext>
          </a:extLst>
        </xdr:cNvPr>
        <xdr:cNvSpPr/>
      </xdr:nvSpPr>
      <xdr:spPr>
        <a:xfrm>
          <a:off x="5606660" y="362139"/>
          <a:ext cx="4475883" cy="1389405"/>
        </a:xfrm>
        <a:prstGeom prst="circularArrow">
          <a:avLst>
            <a:gd name="adj1" fmla="val 12500"/>
            <a:gd name="adj2" fmla="val 1142319"/>
            <a:gd name="adj3" fmla="val 20457681"/>
            <a:gd name="adj4" fmla="val 11248436"/>
            <a:gd name="adj5" fmla="val 9953"/>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17</xdr:col>
      <xdr:colOff>403412</xdr:colOff>
      <xdr:row>11</xdr:row>
      <xdr:rowOff>23813</xdr:rowOff>
    </xdr:from>
    <xdr:to>
      <xdr:col>26</xdr:col>
      <xdr:colOff>202406</xdr:colOff>
      <xdr:row>42</xdr:row>
      <xdr:rowOff>145676</xdr:rowOff>
    </xdr:to>
    <xdr:grpSp>
      <xdr:nvGrpSpPr>
        <xdr:cNvPr id="14" name="Agrupar 13">
          <a:extLst>
            <a:ext uri="{FF2B5EF4-FFF2-40B4-BE49-F238E27FC236}">
              <a16:creationId xmlns:a16="http://schemas.microsoft.com/office/drawing/2014/main" id="{01D13A04-576C-D084-7603-BA6E8512B9A0}"/>
            </a:ext>
          </a:extLst>
        </xdr:cNvPr>
        <xdr:cNvGrpSpPr/>
      </xdr:nvGrpSpPr>
      <xdr:grpSpPr>
        <a:xfrm>
          <a:off x="10684364" y="2019527"/>
          <a:ext cx="5241852" cy="5746149"/>
          <a:chOff x="3202251" y="2941876"/>
          <a:chExt cx="7977842" cy="2995470"/>
        </a:xfrm>
        <a:effectLst>
          <a:outerShdw blurRad="50800" dist="38100" dir="5400000" algn="t" rotWithShape="0">
            <a:prstClr val="black">
              <a:alpha val="40000"/>
            </a:prstClr>
          </a:outerShdw>
        </a:effectLst>
      </xdr:grpSpPr>
      <xdr:sp macro="" textlink="">
        <xdr:nvSpPr>
          <xdr:cNvPr id="11" name="Retângulo: Cantos Arredondados 10">
            <a:extLst>
              <a:ext uri="{FF2B5EF4-FFF2-40B4-BE49-F238E27FC236}">
                <a16:creationId xmlns:a16="http://schemas.microsoft.com/office/drawing/2014/main" id="{A5FBCA4B-0ABC-9642-FA81-CAB8850ACB51}"/>
              </a:ext>
            </a:extLst>
          </xdr:cNvPr>
          <xdr:cNvSpPr/>
        </xdr:nvSpPr>
        <xdr:spPr>
          <a:xfrm>
            <a:off x="3202251" y="2941876"/>
            <a:ext cx="7977842" cy="2995470"/>
          </a:xfrm>
          <a:prstGeom prst="roundRect">
            <a:avLst>
              <a:gd name="adj" fmla="val 7328"/>
            </a:avLst>
          </a:prstGeom>
          <a:solidFill>
            <a:schemeClr val="tx2">
              <a:lumMod val="7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bg1"/>
              </a:solidFill>
            </a:endParaRPr>
          </a:p>
        </xdr:txBody>
      </xdr:sp>
      <xdr:graphicFrame macro="">
        <xdr:nvGraphicFramePr>
          <xdr:cNvPr id="2" name="Gráfico 1">
            <a:extLst>
              <a:ext uri="{FF2B5EF4-FFF2-40B4-BE49-F238E27FC236}">
                <a16:creationId xmlns:a16="http://schemas.microsoft.com/office/drawing/2014/main" id="{5D6AF2B4-A8A5-44EE-9690-B0968ADA0095}"/>
              </a:ext>
            </a:extLst>
          </xdr:cNvPr>
          <xdr:cNvGraphicFramePr>
            <a:graphicFrameLocks/>
          </xdr:cNvGraphicFramePr>
        </xdr:nvGraphicFramePr>
        <xdr:xfrm>
          <a:off x="3414891" y="3022700"/>
          <a:ext cx="7623224" cy="2844699"/>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18</xdr:col>
      <xdr:colOff>311140</xdr:colOff>
      <xdr:row>4</xdr:row>
      <xdr:rowOff>45205</xdr:rowOff>
    </xdr:from>
    <xdr:to>
      <xdr:col>21</xdr:col>
      <xdr:colOff>583406</xdr:colOff>
      <xdr:row>9</xdr:row>
      <xdr:rowOff>119062</xdr:rowOff>
    </xdr:to>
    <xdr:grpSp>
      <xdr:nvGrpSpPr>
        <xdr:cNvPr id="19" name="Agrupar 18">
          <a:extLst>
            <a:ext uri="{FF2B5EF4-FFF2-40B4-BE49-F238E27FC236}">
              <a16:creationId xmlns:a16="http://schemas.microsoft.com/office/drawing/2014/main" id="{A6910457-6722-17A5-D214-B1DF2B1ED0B0}"/>
            </a:ext>
          </a:extLst>
        </xdr:cNvPr>
        <xdr:cNvGrpSpPr/>
      </xdr:nvGrpSpPr>
      <xdr:grpSpPr>
        <a:xfrm>
          <a:off x="11196854" y="770919"/>
          <a:ext cx="2086552" cy="981000"/>
          <a:chOff x="4551439" y="882873"/>
          <a:chExt cx="2089638" cy="889310"/>
        </a:xfrm>
        <a:scene3d>
          <a:camera prst="orthographicFront">
            <a:rot lat="0" lon="0" rev="0"/>
          </a:camera>
          <a:lightRig rig="balanced" dir="t">
            <a:rot lat="0" lon="0" rev="8700000"/>
          </a:lightRig>
        </a:scene3d>
      </xdr:grpSpPr>
      <xdr:sp macro="" textlink="'Fluxo de Movimentos'!E1">
        <xdr:nvSpPr>
          <xdr:cNvPr id="13" name="Retângulo: Cantos Arredondados 12">
            <a:extLst>
              <a:ext uri="{FF2B5EF4-FFF2-40B4-BE49-F238E27FC236}">
                <a16:creationId xmlns:a16="http://schemas.microsoft.com/office/drawing/2014/main" id="{2CE7F0DA-2D72-3BAF-8925-9966C36B475C}"/>
              </a:ext>
            </a:extLst>
          </xdr:cNvPr>
          <xdr:cNvSpPr/>
        </xdr:nvSpPr>
        <xdr:spPr>
          <a:xfrm>
            <a:off x="4551439" y="882873"/>
            <a:ext cx="2089638" cy="889310"/>
          </a:xfrm>
          <a:prstGeom prst="roundRect">
            <a:avLst/>
          </a:prstGeom>
          <a:solidFill>
            <a:schemeClr val="tx2">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800" b="1" i="0" u="none" strike="noStrike">
              <a:solidFill>
                <a:schemeClr val="bg1"/>
              </a:solidFill>
              <a:latin typeface="Times New Roman" panose="02020603050405020304" pitchFamily="18" charset="0"/>
              <a:ea typeface="Calibri"/>
              <a:cs typeface="Times New Roman" panose="02020603050405020304" pitchFamily="18" charset="0"/>
            </a:endParaRPr>
          </a:p>
          <a:p>
            <a:pPr algn="ctr"/>
            <a:fld id="{C8686EAF-3505-4854-8427-6F8E0237A6BC}" type="TxLink">
              <a:rPr lang="en-US" sz="1800" b="1" i="0" u="none" strike="noStrike">
                <a:solidFill>
                  <a:schemeClr val="bg1"/>
                </a:solidFill>
                <a:latin typeface="Times New Roman" panose="02020603050405020304" pitchFamily="18" charset="0"/>
                <a:ea typeface="Calibri"/>
                <a:cs typeface="Times New Roman" panose="02020603050405020304" pitchFamily="18" charset="0"/>
              </a:rPr>
              <a:pPr algn="ctr"/>
              <a:t> 97 500,00 Kz </a:t>
            </a:fld>
            <a:endParaRPr lang="pt-PT" sz="2800" b="1">
              <a:solidFill>
                <a:schemeClr val="bg1"/>
              </a:solidFill>
              <a:latin typeface="Times New Roman" panose="02020603050405020304" pitchFamily="18" charset="0"/>
              <a:cs typeface="Times New Roman" panose="02020603050405020304" pitchFamily="18" charset="0"/>
            </a:endParaRPr>
          </a:p>
        </xdr:txBody>
      </xdr:sp>
      <xdr:sp macro="" textlink="">
        <xdr:nvSpPr>
          <xdr:cNvPr id="15" name="CaixaDeTexto 14">
            <a:extLst>
              <a:ext uri="{FF2B5EF4-FFF2-40B4-BE49-F238E27FC236}">
                <a16:creationId xmlns:a16="http://schemas.microsoft.com/office/drawing/2014/main" id="{7E322EAF-B956-1D91-5A68-40E24431EC5E}"/>
              </a:ext>
            </a:extLst>
          </xdr:cNvPr>
          <xdr:cNvSpPr txBox="1"/>
        </xdr:nvSpPr>
        <xdr:spPr>
          <a:xfrm>
            <a:off x="4661606" y="949862"/>
            <a:ext cx="1248579" cy="247882"/>
          </a:xfrm>
          <a:prstGeom prst="rect">
            <a:avLst/>
          </a:prstGeom>
          <a:noFill/>
          <a:ln>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PT" sz="1600" b="1">
                <a:solidFill>
                  <a:schemeClr val="bg1"/>
                </a:solidFill>
                <a:latin typeface="Times New Roman" panose="02020603050405020304" pitchFamily="18" charset="0"/>
                <a:cs typeface="Times New Roman" panose="02020603050405020304" pitchFamily="18" charset="0"/>
              </a:rPr>
              <a:t>LUCRO</a:t>
            </a:r>
          </a:p>
        </xdr:txBody>
      </xdr:sp>
    </xdr:grpSp>
    <xdr:clientData/>
  </xdr:twoCellAnchor>
  <xdr:twoCellAnchor>
    <xdr:from>
      <xdr:col>22</xdr:col>
      <xdr:colOff>267245</xdr:colOff>
      <xdr:row>4</xdr:row>
      <xdr:rowOff>5757</xdr:rowOff>
    </xdr:from>
    <xdr:to>
      <xdr:col>25</xdr:col>
      <xdr:colOff>524305</xdr:colOff>
      <xdr:row>9</xdr:row>
      <xdr:rowOff>50972</xdr:rowOff>
    </xdr:to>
    <xdr:grpSp>
      <xdr:nvGrpSpPr>
        <xdr:cNvPr id="18" name="Agrupar 17">
          <a:extLst>
            <a:ext uri="{FF2B5EF4-FFF2-40B4-BE49-F238E27FC236}">
              <a16:creationId xmlns:a16="http://schemas.microsoft.com/office/drawing/2014/main" id="{3E764B55-4A9A-3826-A597-2E36F4C5B0A1}"/>
            </a:ext>
          </a:extLst>
        </xdr:cNvPr>
        <xdr:cNvGrpSpPr/>
      </xdr:nvGrpSpPr>
      <xdr:grpSpPr>
        <a:xfrm>
          <a:off x="13572007" y="731471"/>
          <a:ext cx="2071346" cy="952358"/>
          <a:chOff x="7633278" y="855331"/>
          <a:chExt cx="2089639" cy="889310"/>
        </a:xfrm>
        <a:scene3d>
          <a:camera prst="orthographicFront">
            <a:rot lat="0" lon="0" rev="0"/>
          </a:camera>
          <a:lightRig rig="balanced" dir="t">
            <a:rot lat="0" lon="0" rev="8700000"/>
          </a:lightRig>
        </a:scene3d>
      </xdr:grpSpPr>
      <xdr:sp macro="" textlink="BD!S18">
        <xdr:nvSpPr>
          <xdr:cNvPr id="16" name="Retângulo: Cantos Arredondados 15">
            <a:extLst>
              <a:ext uri="{FF2B5EF4-FFF2-40B4-BE49-F238E27FC236}">
                <a16:creationId xmlns:a16="http://schemas.microsoft.com/office/drawing/2014/main" id="{2E7E9AB3-44C4-EE4C-E6C5-E15F3BCAFA5C}"/>
              </a:ext>
            </a:extLst>
          </xdr:cNvPr>
          <xdr:cNvSpPr/>
        </xdr:nvSpPr>
        <xdr:spPr>
          <a:xfrm>
            <a:off x="7633278" y="855331"/>
            <a:ext cx="2089639" cy="889310"/>
          </a:xfrm>
          <a:prstGeom prst="roundRect">
            <a:avLst/>
          </a:prstGeom>
          <a:solidFill>
            <a:schemeClr val="tx2">
              <a:lumMod val="75000"/>
            </a:schemeClr>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800" b="1" i="0" u="none" strike="noStrike">
              <a:solidFill>
                <a:schemeClr val="bg1"/>
              </a:solidFill>
              <a:latin typeface="Calibri"/>
              <a:ea typeface="Calibri"/>
              <a:cs typeface="Calibri"/>
            </a:endParaRPr>
          </a:p>
          <a:p>
            <a:pPr algn="ctr"/>
            <a:fld id="{C00169A2-0CCC-4FEE-AE4E-ED4E6220FB2C}" type="TxLink">
              <a:rPr lang="en-US" sz="1800" b="1" i="0" u="none" strike="noStrike">
                <a:solidFill>
                  <a:schemeClr val="bg1"/>
                </a:solidFill>
                <a:latin typeface="Calibri"/>
                <a:ea typeface="Calibri"/>
                <a:cs typeface="Calibri"/>
              </a:rPr>
              <a:pPr algn="ctr"/>
              <a:t>11</a:t>
            </a:fld>
            <a:endParaRPr lang="pt-PT" sz="4400" b="1">
              <a:solidFill>
                <a:schemeClr val="bg1"/>
              </a:solidFill>
              <a:latin typeface="Times New Roman" panose="02020603050405020304" pitchFamily="18" charset="0"/>
              <a:cs typeface="Times New Roman" panose="02020603050405020304" pitchFamily="18" charset="0"/>
            </a:endParaRPr>
          </a:p>
        </xdr:txBody>
      </xdr:sp>
      <xdr:sp macro="" textlink="">
        <xdr:nvSpPr>
          <xdr:cNvPr id="17" name="CaixaDeTexto 16">
            <a:extLst>
              <a:ext uri="{FF2B5EF4-FFF2-40B4-BE49-F238E27FC236}">
                <a16:creationId xmlns:a16="http://schemas.microsoft.com/office/drawing/2014/main" id="{E1C6D4D1-39F6-4490-995A-65AC40FD8045}"/>
              </a:ext>
            </a:extLst>
          </xdr:cNvPr>
          <xdr:cNvSpPr txBox="1"/>
        </xdr:nvSpPr>
        <xdr:spPr>
          <a:xfrm>
            <a:off x="7675508" y="855369"/>
            <a:ext cx="1775553" cy="324998"/>
          </a:xfrm>
          <a:prstGeom prst="rect">
            <a:avLst/>
          </a:prstGeom>
          <a:noFill/>
          <a:ln>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PT" sz="1600" b="1">
                <a:solidFill>
                  <a:schemeClr val="bg1"/>
                </a:solidFill>
                <a:latin typeface="Times New Roman" panose="02020603050405020304" pitchFamily="18" charset="0"/>
                <a:cs typeface="Times New Roman" panose="02020603050405020304" pitchFamily="18" charset="0"/>
              </a:rPr>
              <a:t>Qtd.</a:t>
            </a:r>
            <a:r>
              <a:rPr lang="pt-PT" sz="1600" b="1" baseline="0">
                <a:solidFill>
                  <a:schemeClr val="bg1"/>
                </a:solidFill>
                <a:latin typeface="Times New Roman" panose="02020603050405020304" pitchFamily="18" charset="0"/>
                <a:cs typeface="Times New Roman" panose="02020603050405020304" pitchFamily="18" charset="0"/>
              </a:rPr>
              <a:t> VENDIDA</a:t>
            </a:r>
            <a:endParaRPr lang="pt-PT" sz="1600" b="1">
              <a:solidFill>
                <a:schemeClr val="bg1"/>
              </a:solidFill>
              <a:latin typeface="Times New Roman" panose="02020603050405020304" pitchFamily="18" charset="0"/>
              <a:cs typeface="Times New Roman" panose="02020603050405020304" pitchFamily="18" charset="0"/>
            </a:endParaRPr>
          </a:p>
        </xdr:txBody>
      </xdr:sp>
    </xdr:grpSp>
    <xdr:clientData/>
  </xdr:twoCellAnchor>
  <xdr:twoCellAnchor>
    <xdr:from>
      <xdr:col>28</xdr:col>
      <xdr:colOff>142875</xdr:colOff>
      <xdr:row>1</xdr:row>
      <xdr:rowOff>23812</xdr:rowOff>
    </xdr:from>
    <xdr:to>
      <xdr:col>30</xdr:col>
      <xdr:colOff>369093</xdr:colOff>
      <xdr:row>4</xdr:row>
      <xdr:rowOff>71438</xdr:rowOff>
    </xdr:to>
    <xdr:sp macro="" textlink="">
      <xdr:nvSpPr>
        <xdr:cNvPr id="20" name="Retângulo: Cantos Arredondados 19">
          <a:hlinkClick xmlns:r="http://schemas.openxmlformats.org/officeDocument/2006/relationships" r:id="rId2"/>
          <a:extLst>
            <a:ext uri="{FF2B5EF4-FFF2-40B4-BE49-F238E27FC236}">
              <a16:creationId xmlns:a16="http://schemas.microsoft.com/office/drawing/2014/main" id="{78A6F3BE-E54B-C95A-A0C6-1F17795DD0E8}"/>
            </a:ext>
          </a:extLst>
        </xdr:cNvPr>
        <xdr:cNvSpPr/>
      </xdr:nvSpPr>
      <xdr:spPr>
        <a:xfrm>
          <a:off x="17145000" y="202406"/>
          <a:ext cx="1440656" cy="583407"/>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PT" sz="2400" b="1"/>
            <a:t>MENU</a:t>
          </a:r>
        </a:p>
      </xdr:txBody>
    </xdr:sp>
    <xdr:clientData/>
  </xdr:twoCellAnchor>
  <xdr:twoCellAnchor>
    <xdr:from>
      <xdr:col>8</xdr:col>
      <xdr:colOff>190499</xdr:colOff>
      <xdr:row>10</xdr:row>
      <xdr:rowOff>118037</xdr:rowOff>
    </xdr:from>
    <xdr:to>
      <xdr:col>17</xdr:col>
      <xdr:colOff>89647</xdr:colOff>
      <xdr:row>28</xdr:row>
      <xdr:rowOff>112059</xdr:rowOff>
    </xdr:to>
    <xdr:sp macro="" textlink="">
      <xdr:nvSpPr>
        <xdr:cNvPr id="26" name="Retângulo: Cantos Arredondados 25">
          <a:extLst>
            <a:ext uri="{FF2B5EF4-FFF2-40B4-BE49-F238E27FC236}">
              <a16:creationId xmlns:a16="http://schemas.microsoft.com/office/drawing/2014/main" id="{21A3B721-68A7-443F-D1B1-4B9968AC60E9}"/>
            </a:ext>
          </a:extLst>
        </xdr:cNvPr>
        <xdr:cNvSpPr/>
      </xdr:nvSpPr>
      <xdr:spPr>
        <a:xfrm>
          <a:off x="5031440" y="1910978"/>
          <a:ext cx="5345207" cy="3221316"/>
        </a:xfrm>
        <a:prstGeom prst="roundRect">
          <a:avLst>
            <a:gd name="adj" fmla="val 7328"/>
          </a:avLst>
        </a:prstGeom>
        <a:solidFill>
          <a:schemeClr val="tx2">
            <a:lumMod val="75000"/>
          </a:schemeClr>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bg1"/>
            </a:solidFill>
          </a:endParaRPr>
        </a:p>
      </xdr:txBody>
    </xdr:sp>
    <xdr:clientData/>
  </xdr:twoCellAnchor>
  <xdr:twoCellAnchor>
    <xdr:from>
      <xdr:col>8</xdr:col>
      <xdr:colOff>499362</xdr:colOff>
      <xdr:row>12</xdr:row>
      <xdr:rowOff>14707</xdr:rowOff>
    </xdr:from>
    <xdr:to>
      <xdr:col>16</xdr:col>
      <xdr:colOff>215713</xdr:colOff>
      <xdr:row>27</xdr:row>
      <xdr:rowOff>79000</xdr:rowOff>
    </xdr:to>
    <xdr:graphicFrame macro="">
      <xdr:nvGraphicFramePr>
        <xdr:cNvPr id="21" name="Gráfico 20">
          <a:extLst>
            <a:ext uri="{FF2B5EF4-FFF2-40B4-BE49-F238E27FC236}">
              <a16:creationId xmlns:a16="http://schemas.microsoft.com/office/drawing/2014/main" id="{2C9BC88E-2B72-4D6A-8A13-44AB4634B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4</xdr:row>
      <xdr:rowOff>40022</xdr:rowOff>
    </xdr:from>
    <xdr:to>
      <xdr:col>2</xdr:col>
      <xdr:colOff>117230</xdr:colOff>
      <xdr:row>12</xdr:row>
      <xdr:rowOff>945</xdr:rowOff>
    </xdr:to>
    <mc:AlternateContent xmlns:mc="http://schemas.openxmlformats.org/markup-compatibility/2006" xmlns:a14="http://schemas.microsoft.com/office/drawing/2010/main">
      <mc:Choice Requires="a14">
        <xdr:graphicFrame macro="">
          <xdr:nvGraphicFramePr>
            <xdr:cNvPr id="29" name="Cor 1">
              <a:extLst>
                <a:ext uri="{FF2B5EF4-FFF2-40B4-BE49-F238E27FC236}">
                  <a16:creationId xmlns:a16="http://schemas.microsoft.com/office/drawing/2014/main" id="{75174992-0E2E-47E5-AE81-CF7FF29F8998}"/>
                </a:ext>
              </a:extLst>
            </xdr:cNvPr>
            <xdr:cNvGraphicFramePr/>
          </xdr:nvGraphicFramePr>
          <xdr:xfrm>
            <a:off x="0" y="0"/>
            <a:ext cx="0" cy="0"/>
          </xdr:xfrm>
          <a:graphic>
            <a:graphicData uri="http://schemas.microsoft.com/office/drawing/2010/slicer">
              <sle:slicer xmlns:sle="http://schemas.microsoft.com/office/drawing/2010/slicer" name="Cor 1"/>
            </a:graphicData>
          </a:graphic>
        </xdr:graphicFrame>
      </mc:Choice>
      <mc:Fallback xmlns="">
        <xdr:sp macro="" textlink="">
          <xdr:nvSpPr>
            <xdr:cNvPr id="0" name=""/>
            <xdr:cNvSpPr>
              <a:spLocks noTextEdit="1"/>
            </xdr:cNvSpPr>
          </xdr:nvSpPr>
          <xdr:spPr>
            <a:xfrm>
              <a:off x="0" y="765736"/>
              <a:ext cx="1326754" cy="1412352"/>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twoCellAnchor editAs="oneCell">
    <xdr:from>
      <xdr:col>0</xdr:col>
      <xdr:colOff>0</xdr:colOff>
      <xdr:row>31</xdr:row>
      <xdr:rowOff>126497</xdr:rowOff>
    </xdr:from>
    <xdr:to>
      <xdr:col>2</xdr:col>
      <xdr:colOff>58615</xdr:colOff>
      <xdr:row>41</xdr:row>
      <xdr:rowOff>178037</xdr:rowOff>
    </xdr:to>
    <mc:AlternateContent xmlns:mc="http://schemas.openxmlformats.org/markup-compatibility/2006" xmlns:a14="http://schemas.microsoft.com/office/drawing/2010/main">
      <mc:Choice Requires="a14">
        <xdr:graphicFrame macro="">
          <xdr:nvGraphicFramePr>
            <xdr:cNvPr id="30" name="Tamanho 1">
              <a:extLst>
                <a:ext uri="{FF2B5EF4-FFF2-40B4-BE49-F238E27FC236}">
                  <a16:creationId xmlns:a16="http://schemas.microsoft.com/office/drawing/2014/main" id="{6A09CEFB-FCB4-4B9F-A20C-08FF2B9DC746}"/>
                </a:ext>
              </a:extLst>
            </xdr:cNvPr>
            <xdr:cNvGraphicFramePr/>
          </xdr:nvGraphicFramePr>
          <xdr:xfrm>
            <a:off x="0" y="0"/>
            <a:ext cx="0" cy="0"/>
          </xdr:xfrm>
          <a:graphic>
            <a:graphicData uri="http://schemas.microsoft.com/office/drawing/2010/slicer">
              <sle:slicer xmlns:sle="http://schemas.microsoft.com/office/drawing/2010/slicer" name="Tamanho 1"/>
            </a:graphicData>
          </a:graphic>
        </xdr:graphicFrame>
      </mc:Choice>
      <mc:Fallback xmlns="">
        <xdr:sp macro="" textlink="">
          <xdr:nvSpPr>
            <xdr:cNvPr id="0" name=""/>
            <xdr:cNvSpPr>
              <a:spLocks noTextEdit="1"/>
            </xdr:cNvSpPr>
          </xdr:nvSpPr>
          <xdr:spPr>
            <a:xfrm>
              <a:off x="0" y="5750783"/>
              <a:ext cx="1268139" cy="1865825"/>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twoCellAnchor editAs="oneCell">
    <xdr:from>
      <xdr:col>0</xdr:col>
      <xdr:colOff>0</xdr:colOff>
      <xdr:row>12</xdr:row>
      <xdr:rowOff>24208</xdr:rowOff>
    </xdr:from>
    <xdr:to>
      <xdr:col>2</xdr:col>
      <xdr:colOff>49851</xdr:colOff>
      <xdr:row>30</xdr:row>
      <xdr:rowOff>178039</xdr:rowOff>
    </xdr:to>
    <mc:AlternateContent xmlns:mc="http://schemas.openxmlformats.org/markup-compatibility/2006" xmlns:a14="http://schemas.microsoft.com/office/drawing/2010/main">
      <mc:Choice Requires="a14">
        <xdr:graphicFrame macro="">
          <xdr:nvGraphicFramePr>
            <xdr:cNvPr id="31" name="Meses (Data) 1">
              <a:extLst>
                <a:ext uri="{FF2B5EF4-FFF2-40B4-BE49-F238E27FC236}">
                  <a16:creationId xmlns:a16="http://schemas.microsoft.com/office/drawing/2014/main" id="{812CE91A-D13C-4307-9839-224321FF11D2}"/>
                </a:ext>
              </a:extLst>
            </xdr:cNvPr>
            <xdr:cNvGraphicFramePr/>
          </xdr:nvGraphicFramePr>
          <xdr:xfrm>
            <a:off x="0" y="0"/>
            <a:ext cx="0" cy="0"/>
          </xdr:xfrm>
          <a:graphic>
            <a:graphicData uri="http://schemas.microsoft.com/office/drawing/2010/slicer">
              <sle:slicer xmlns:sle="http://schemas.microsoft.com/office/drawing/2010/slicer" name="Meses (Data) 1"/>
            </a:graphicData>
          </a:graphic>
        </xdr:graphicFrame>
      </mc:Choice>
      <mc:Fallback xmlns="">
        <xdr:sp macro="" textlink="">
          <xdr:nvSpPr>
            <xdr:cNvPr id="0" name=""/>
            <xdr:cNvSpPr>
              <a:spLocks noTextEdit="1"/>
            </xdr:cNvSpPr>
          </xdr:nvSpPr>
          <xdr:spPr>
            <a:xfrm>
              <a:off x="0" y="2201351"/>
              <a:ext cx="1259375" cy="3419545"/>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quim Antonio" refreshedDate="45947.023193287037" createdVersion="8" refreshedVersion="8" minRefreshableVersion="3" recordCount="29" xr:uid="{19D7EB71-E2A3-45F6-B624-DE76D400AD20}">
  <cacheSource type="worksheet">
    <worksheetSource name="Tabela3"/>
  </cacheSource>
  <cacheFields count="7">
    <cacheField name="Data" numFmtId="0">
      <sharedItems containsNonDate="0" containsDate="1" containsString="0" containsBlank="1" minDate="2025-09-07T00:00:00" maxDate="2025-10-09T00:00:00" count="13">
        <d v="2025-10-08T00:00:00"/>
        <d v="2025-10-07T00:00:00"/>
        <d v="2025-09-07T00:00:00"/>
        <d v="2025-10-06T00:00:00"/>
        <d v="2025-10-03T00:00:00"/>
        <d v="2025-10-01T00:00:00"/>
        <d v="2025-09-30T00:00:00"/>
        <d v="2025-09-27T00:00:00"/>
        <m/>
        <d v="2025-09-19T00:00:00"/>
        <d v="2025-09-24T00:00:00"/>
        <d v="2025-09-22T00:00:00"/>
        <d v="2025-09-21T00:00:00"/>
      </sharedItems>
      <fieldGroup par="6"/>
    </cacheField>
    <cacheField name="Categoria" numFmtId="0">
      <sharedItems containsBlank="1" count="8">
        <s v="Taxi"/>
        <s v="T-shirt S"/>
        <s v="Gráfica"/>
        <s v="Venda de T-shirt"/>
        <s v="T-shirt"/>
        <s v="T-Shirts"/>
        <m/>
        <s v="Prodção Grafica"/>
      </sharedItems>
    </cacheField>
    <cacheField name="Caracter" numFmtId="0">
      <sharedItems containsBlank="1" count="3">
        <s v="Saída"/>
        <s v="Entrada"/>
        <m/>
      </sharedItems>
    </cacheField>
    <cacheField name="Valor" numFmtId="0">
      <sharedItems containsString="0" containsBlank="1" containsNumber="1" containsInteger="1" minValue="800" maxValue="27700"/>
    </cacheField>
    <cacheField name="Descrição" numFmtId="0">
      <sharedItems containsNonDate="0" containsString="0" containsBlank="1"/>
    </cacheField>
    <cacheField name="Dias (Data})" numFmtId="0" databaseField="0">
      <fieldGroup base="0">
        <rangePr groupBy="days" startDate="2025-09-07T00:00:00" endDate="2025-10-09T00:00:00"/>
        <groupItems count="368">
          <s v="&lt;07/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9/10/2025"/>
        </groupItems>
      </fieldGroup>
    </cacheField>
    <cacheField name="Meses (Data)" numFmtId="0" databaseField="0">
      <fieldGroup base="0">
        <rangePr groupBy="months" startDate="2025-09-07T00:00:00" endDate="2025-10-09T00:00:00"/>
        <groupItems count="14">
          <s v="&lt;07/09/2025"/>
          <s v="jan"/>
          <s v="fev"/>
          <s v="mar"/>
          <s v="abr"/>
          <s v="mai"/>
          <s v="jun"/>
          <s v="jul"/>
          <s v="ago"/>
          <s v="set"/>
          <s v="out"/>
          <s v="nov"/>
          <s v="dez"/>
          <s v="&gt;09/10/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quim Antonio" refreshedDate="45947.027971180556" createdVersion="8" refreshedVersion="8" minRefreshableVersion="3" recordCount="14" xr:uid="{927473FB-FFA8-4867-A46B-034E7C698369}">
  <cacheSource type="worksheet">
    <worksheetSource name="Tabela2"/>
  </cacheSource>
  <cacheFields count="8">
    <cacheField name="Data" numFmtId="14">
      <sharedItems containsNonDate="0" containsDate="1" containsString="0" containsBlank="1" minDate="2025-09-07T00:00:00" maxDate="2025-10-09T00:00:00" count="9">
        <d v="2025-09-07T00:00:00"/>
        <d v="2025-10-08T00:00:00"/>
        <d v="2025-10-06T00:00:00"/>
        <d v="2025-10-03T00:00:00"/>
        <d v="2025-09-27T00:00:00"/>
        <d v="2025-09-19T00:00:00"/>
        <d v="2025-09-24T00:00:00"/>
        <d v="2025-09-21T00:00:00"/>
        <m/>
      </sharedItems>
      <fieldGroup par="7"/>
    </cacheField>
    <cacheField name="Cor" numFmtId="0">
      <sharedItems containsBlank="1" count="3">
        <s v="Branca"/>
        <s v="Preta"/>
        <m/>
      </sharedItems>
    </cacheField>
    <cacheField name="Tamanho" numFmtId="0">
      <sharedItems containsBlank="1" count="5">
        <s v="S"/>
        <s v="XL"/>
        <s v="L"/>
        <s v="M"/>
        <m/>
      </sharedItems>
    </cacheField>
    <cacheField name="Qtde" numFmtId="0">
      <sharedItems containsString="0" containsBlank="1" containsNumber="1" containsInteger="1" minValue="1" maxValue="2"/>
    </cacheField>
    <cacheField name="Preço Unitário" numFmtId="164">
      <sharedItems containsString="0" containsBlank="1" containsNumber="1" containsInteger="1" minValue="9000" maxValue="14000"/>
    </cacheField>
    <cacheField name="Total Venda" numFmtId="164">
      <sharedItems containsSemiMixedTypes="0" containsString="0" containsNumber="1" containsInteger="1" minValue="0" maxValue="27700"/>
    </cacheField>
    <cacheField name="Dias (Data})" numFmtId="0" databaseField="0">
      <fieldGroup base="0">
        <rangePr groupBy="days" startDate="2025-09-07T00:00:00" endDate="2025-10-09T00:00:00"/>
        <groupItems count="368">
          <s v="&lt;07/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9/10/2025"/>
        </groupItems>
      </fieldGroup>
    </cacheField>
    <cacheField name="Meses (Data)" numFmtId="0" databaseField="0">
      <fieldGroup base="0">
        <rangePr groupBy="months" startDate="2025-09-07T00:00:00" endDate="2025-10-09T00:00:00"/>
        <groupItems count="14">
          <s v="&lt;07/09/2025"/>
          <s v="jan"/>
          <s v="fev"/>
          <s v="mar"/>
          <s v="abr"/>
          <s v="mai"/>
          <s v="jun"/>
          <s v="jul"/>
          <s v="ago"/>
          <s v="set"/>
          <s v="out"/>
          <s v="nov"/>
          <s v="dez"/>
          <s v="&gt;09/10/2025"/>
        </groupItems>
      </fieldGroup>
    </cacheField>
  </cacheFields>
  <extLst>
    <ext xmlns:x14="http://schemas.microsoft.com/office/spreadsheetml/2009/9/main" uri="{725AE2AE-9491-48be-B2B4-4EB974FC3084}">
      <x14:pivotCacheDefinition pivotCacheId="141557429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51.924045254629" backgroundQuery="1" createdVersion="8" refreshedVersion="8" minRefreshableVersion="3" recordCount="0" supportSubquery="1" supportAdvancedDrill="1" xr:uid="{F768B375-F3F4-4F24-800E-24738AB85E0F}">
  <cacheSource type="external" connectionId="7"/>
  <cacheFields count="3">
    <cacheField name="[Measures].[Sum of Valor]" caption="Sum of Valor" numFmtId="0" hierarchy="40" level="32767"/>
    <cacheField name="[Finanças].[Data].[Data]" caption="Data" numFmtId="0" hierarchy="2" level="1">
      <sharedItems containsSemiMixedTypes="0" containsNonDate="0" containsDate="1" containsString="0" minDate="2025-09-07T00:00:00" maxDate="2025-10-01T00:00:00" count="7">
        <d v="2025-09-07T00:00:00"/>
        <d v="2025-09-19T00:00:00"/>
        <d v="2025-09-21T00:00:00"/>
        <d v="2025-09-22T00:00:00"/>
        <d v="2025-09-24T00:00:00"/>
        <d v="2025-09-27T00:00:00"/>
        <d v="2025-09-30T00:00:00"/>
      </sharedItems>
    </cacheField>
    <cacheField name="[Finanças].[Data (Month)].[Data (Month)]" caption="Data (Month)" numFmtId="0" hierarchy="7" level="1">
      <sharedItems count="2">
        <s v="set"/>
        <s v="out"/>
      </sharedItems>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0" memberValueDatatype="130" unbalanced="0"/>
    <cacheHierarchy uniqueName="[Finanças].[Data]" caption="Data" attribute="1" time="1" defaultMemberUniqueName="[Finanças].[Data].[All]" allUniqueName="[Finanças].[Data].[All]" dimensionUniqueName="[Finanças]" displayFolder="" count="2" memberValueDatatype="7" unbalanced="0">
      <fieldsUsage count="2">
        <fieldUsage x="-1"/>
        <fieldUsage x="1"/>
      </fieldsUsage>
    </cacheHierarchy>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2" memberValueDatatype="130" unbalanced="0">
      <fieldsUsage count="2">
        <fieldUsage x="-1"/>
        <fieldUsage x="2"/>
      </fieldsUsage>
    </cacheHierarchy>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0">
    <map measureGroup="0" dimension="0"/>
    <map measureGroup="1" dimension="1"/>
    <map measureGroup="2" dimension="0"/>
    <map measureGroup="2" dimension="3"/>
    <map measureGroup="2" dimension="5"/>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51.924043634259" backgroundQuery="1" createdVersion="8" refreshedVersion="8" minRefreshableVersion="3" recordCount="0" supportSubquery="1" supportAdvancedDrill="1" xr:uid="{0DFA579A-A7EF-4411-9059-EC923FD38F6D}">
  <cacheSource type="external" connectionId="7"/>
  <cacheFields count="2">
    <cacheField name="[Measures].[Sum of Valor]" caption="Sum of Valor" numFmtId="0" hierarchy="40" level="32767"/>
    <cacheField name="[Finanças].[Caracter].[Caracter]" caption="Caracter" numFmtId="0" hierarchy="4" level="1">
      <sharedItems count="2">
        <s v="Entrada"/>
        <s v="Saída"/>
      </sharedItems>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0" memberValueDatatype="130" unbalanced="0"/>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2" memberValueDatatype="130" unbalanced="0">
      <fieldsUsage count="2">
        <fieldUsage x="-1"/>
        <fieldUsage x="1"/>
      </fieldsUsage>
    </cacheHierarchy>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0">
    <map measureGroup="0" dimension="0"/>
    <map measureGroup="1" dimension="1"/>
    <map measureGroup="2" dimension="0"/>
    <map measureGroup="2" dimension="3"/>
    <map measureGroup="2" dimension="5"/>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51.924042129627" backgroundQuery="1" createdVersion="8" refreshedVersion="8" minRefreshableVersion="3" recordCount="0" supportSubquery="1" supportAdvancedDrill="1" xr:uid="{C64CB5D9-46B9-4AF9-BF96-2DE9C670D858}">
  <cacheSource type="external" connectionId="7"/>
  <cacheFields count="2">
    <cacheField name="[Finanças].[Categoria].[Categoria]" caption="Categoria" numFmtId="0" hierarchy="3" level="1">
      <sharedItems count="7">
        <s v="Gráfica"/>
        <s v="Prodção Grafica"/>
        <s v="Taxi"/>
        <s v="T-Shirt"/>
        <s v="T-Shirt S"/>
        <s v="T-Shirts"/>
        <s v="Venda De T-Shirt"/>
      </sharedItems>
    </cacheField>
    <cacheField name="[Measures].[Sum of Valor]" caption="Sum of Valor" numFmtId="0" hierarchy="40" level="32767"/>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0" memberValueDatatype="130" unbalanced="0"/>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2" memberValueDatatype="130" unbalanced="0">
      <fieldsUsage count="2">
        <fieldUsage x="-1"/>
        <fieldUsage x="0"/>
      </fieldsUsage>
    </cacheHierarchy>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0">
    <map measureGroup="0" dimension="0"/>
    <map measureGroup="1" dimension="1"/>
    <map measureGroup="2" dimension="0"/>
    <map measureGroup="2" dimension="3"/>
    <map measureGroup="2" dimension="5"/>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497685" backgroundQuery="1" createdVersion="8" refreshedVersion="8" minRefreshableVersion="3" recordCount="0" supportSubquery="1" supportAdvancedDrill="1" xr:uid="{1B43CED4-B0E0-4556-87DE-212A814134FA}">
  <cacheSource type="external" connectionId="7"/>
  <cacheFields count="4">
    <cacheField name="[Measures].[Sum of Qtd]" caption="Sum of Qtd" numFmtId="0" hierarchy="41" level="32767"/>
    <cacheField name="[stock].[Tamanho].[Tamanho]" caption="Tamanho" numFmtId="0" hierarchy="9" level="1">
      <sharedItems count="6">
        <s v="2XL"/>
        <s v="3XL"/>
        <s v="L"/>
        <s v="M"/>
        <s v="S"/>
        <s v="XL"/>
      </sharedItems>
    </cacheField>
    <cacheField name="[stock].[Cor].[Cor]" caption="Cor" numFmtId="0" hierarchy="8" level="1">
      <sharedItems count="5">
        <s v="Azul"/>
        <s v="Branca"/>
        <s v="Castanha"/>
        <s v="Cinza"/>
        <s v="Preta"/>
      </sharedItems>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3"/>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2"/>
      </fieldsUsage>
    </cacheHierarchy>
    <cacheHierarchy uniqueName="[stock].[Tamanho]" caption="Tamanho" attribute="1" defaultMemberUniqueName="[stock].[Tamanho].[All]" allUniqueName="[stock].[Tamanho].[All]" dimensionUniqueName="[stock]" displayFolder="" count="2" memberValueDatatype="130" unbalanced="0">
      <fieldsUsage count="2">
        <fieldUsage x="-1"/>
        <fieldUsage x="1"/>
      </fieldsUsage>
    </cacheHierarchy>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5439812" backgroundQuery="1" createdVersion="8" refreshedVersion="8" minRefreshableVersion="3" recordCount="0" supportSubquery="1" supportAdvancedDrill="1" xr:uid="{891188EA-FD74-49F6-B08E-C0C20AB8164D}">
  <cacheSource type="external" connectionId="7"/>
  <cacheFields count="5">
    <cacheField name="[Measures].[Sum of Qtde]" caption="Sum of Qtde" numFmtId="0" hierarchy="42" level="32767"/>
    <cacheField name="[Vendas].[Tamanho].[Tamanho]" caption="Tamanho" numFmtId="0" hierarchy="18" level="1">
      <sharedItems count="4">
        <s v="L"/>
        <s v="M"/>
        <s v="S"/>
        <s v="XL"/>
      </sharedItems>
    </cacheField>
    <cacheField name="[stock].[Cor].[Cor]" caption="Cor" numFmtId="0" hierarchy="8" level="1">
      <sharedItems containsSemiMixedTypes="0" containsNonDate="0" containsString="0"/>
    </cacheField>
    <cacheField name="[Vendas].[Cor].[Cor]" caption="Cor" numFmtId="0" hierarchy="17" level="1">
      <sharedItems count="2">
        <s v="Branca"/>
        <s v="Preta"/>
      </sharedItems>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4"/>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2"/>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2" memberValueDatatype="130" unbalanced="0">
      <fieldsUsage count="2">
        <fieldUsage x="-1"/>
        <fieldUsage x="3"/>
      </fieldsUsage>
    </cacheHierarchy>
    <cacheHierarchy uniqueName="[Vendas].[Tamanho]" caption="Tamanho" attribute="1" defaultMemberUniqueName="[Vendas].[Tamanho].[All]" allUniqueName="[Vendas].[Tamanho].[All]" dimensionUniqueName="[Vendas]" displayFolder="" count="2" memberValueDatatype="130" unbalanced="0">
      <fieldsUsage count="2">
        <fieldUsage x="-1"/>
        <fieldUsage x="1"/>
      </fieldsUsage>
    </cacheHierarchy>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5787035" backgroundQuery="1" createdVersion="8" refreshedVersion="8" minRefreshableVersion="3" recordCount="0" supportSubquery="1" supportAdvancedDrill="1" xr:uid="{77D7CDBF-4EC5-4D39-A988-D17C67CB128C}">
  <cacheSource type="external" connectionId="7"/>
  <cacheFields count="5">
    <cacheField name="[Vendas].[Tamanho].[Tamanho]" caption="Tamanho" numFmtId="0" hierarchy="18" level="1">
      <sharedItems count="4">
        <s v="L"/>
        <s v="M"/>
        <s v="S"/>
        <s v="XL"/>
      </sharedItems>
    </cacheField>
    <cacheField name="[stock].[Cor].[Cor]" caption="Cor" numFmtId="0" hierarchy="8" level="1">
      <sharedItems containsSemiMixedTypes="0" containsNonDate="0" containsString="0"/>
    </cacheField>
    <cacheField name="[Vendas].[Cor].[Cor]" caption="Cor" numFmtId="0" hierarchy="17" level="1">
      <sharedItems count="2">
        <s v="Branca"/>
        <s v="Preta"/>
      </sharedItems>
    </cacheField>
    <cacheField name="[Measures].[Total]" caption="Total" numFmtId="0" hierarchy="25"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4"/>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1"/>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2" memberValueDatatype="130" unbalanced="0">
      <fieldsUsage count="2">
        <fieldUsage x="-1"/>
        <fieldUsage x="2"/>
      </fieldsUsage>
    </cacheHierarchy>
    <cacheHierarchy uniqueName="[Vendas].[Tamanho]" caption="Tamanho" attribute="1" defaultMemberUniqueName="[Vendas].[Tamanho].[All]" allUniqueName="[Vendas].[Tamanho].[All]" dimensionUniqueName="[Vendas]" displayFolder="" count="2" memberValueDatatype="130" unbalanced="0">
      <fieldsUsage count="2">
        <fieldUsage x="-1"/>
        <fieldUsage x="0"/>
      </fieldsUsage>
    </cacheHierarchy>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oneField="1">
      <fieldsUsage count="1">
        <fieldUsage x="3"/>
      </fieldsUsage>
    </cacheHierarchy>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6249997" backgroundQuery="1" createdVersion="8" refreshedVersion="8" minRefreshableVersion="3" recordCount="0" supportSubquery="1" supportAdvancedDrill="1" xr:uid="{7CBD4789-E6B6-46E7-A874-2EFAAF863E06}">
  <cacheSource type="external" connectionId="7"/>
  <cacheFields count="4">
    <cacheField name="[stock].[Cor].[Cor]" caption="Cor" numFmtId="0" hierarchy="8" level="1">
      <sharedItems containsSemiMixedTypes="0" containsNonDate="0" containsString="0"/>
    </cacheField>
    <cacheField name="[Vendas].[Data (Month)].[Data (Month)]" caption="Data (Month)" numFmtId="0" hierarchy="22" level="1">
      <sharedItems count="2">
        <s v="set"/>
        <s v="out"/>
      </sharedItems>
    </cacheField>
    <cacheField name="[Measures].[Total]" caption="Total" numFmtId="0" hierarchy="25"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3"/>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2" memberValueDatatype="130" unbalanced="0">
      <fieldsUsage count="2">
        <fieldUsage x="-1"/>
        <fieldUsage x="1"/>
      </fieldsUsage>
    </cacheHierarchy>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oneField="1">
      <fieldsUsage count="1">
        <fieldUsage x="2"/>
      </fieldsUsage>
    </cacheHierarchy>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6365743" backgroundQuery="1" createdVersion="8" refreshedVersion="8" minRefreshableVersion="3" recordCount="0" supportSubquery="1" supportAdvancedDrill="1" xr:uid="{51ACB2AF-B204-4FBD-B7AD-54138DF324F0}">
  <cacheSource type="external" connectionId="7"/>
  <cacheFields count="3">
    <cacheField name="[stock].[Cor].[Cor]" caption="Cor" numFmtId="0" hierarchy="8" level="1">
      <sharedItems containsSemiMixedTypes="0" containsNonDate="0" containsString="0"/>
    </cacheField>
    <cacheField name="[Measures].[Lucro]" caption="Lucro" numFmtId="0" hierarchy="30"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oneField="1">
      <fieldsUsage count="1">
        <fieldUsage x="1"/>
      </fieldsUsage>
    </cacheHierarchy>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6481482" backgroundQuery="1" createdVersion="8" refreshedVersion="8" minRefreshableVersion="3" recordCount="0" supportSubquery="1" supportAdvancedDrill="1" xr:uid="{5834CE9B-0D49-4D45-A681-1C7DFCBBB6AB}">
  <cacheSource type="external" connectionId="7"/>
  <cacheFields count="3">
    <cacheField name="[stock].[Cor].[Cor]" caption="Cor" numFmtId="0" hierarchy="8" level="1">
      <sharedItems containsSemiMixedTypes="0" containsNonDate="0" containsString="0"/>
    </cacheField>
    <cacheField name="[Measures].[Margen de Lucro]" caption="Margen de Lucro" numFmtId="0" hierarchy="31"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oneField="1">
      <fieldsUsage count="1">
        <fieldUsage x="1"/>
      </fieldsUsage>
    </cacheHierarchy>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6712966" backgroundQuery="1" createdVersion="8" refreshedVersion="8" minRefreshableVersion="3" recordCount="0" supportSubquery="1" supportAdvancedDrill="1" xr:uid="{6008BBBE-F578-4912-8117-DAD8D3DF7D06}">
  <cacheSource type="external" connectionId="7"/>
  <cacheFields count="3">
    <cacheField name="[stock].[Cor].[Cor]" caption="Cor" numFmtId="0" hierarchy="8" level="1">
      <sharedItems containsSemiMixedTypes="0" containsNonDate="0" containsString="0"/>
    </cacheField>
    <cacheField name="[Measures].[qtdTotalVendida]" caption="qtdTotalVendida" numFmtId="0" hierarchy="26"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oneField="1">
      <fieldsUsage count="1">
        <fieldUsage x="1"/>
      </fieldsUsage>
    </cacheHierarchy>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6828705" backgroundQuery="1" createdVersion="8" refreshedVersion="8" minRefreshableVersion="3" recordCount="0" supportSubquery="1" supportAdvancedDrill="1" xr:uid="{F248B4A3-61DE-400A-944F-92DCE2FACF81}">
  <cacheSource type="external" connectionId="7"/>
  <cacheFields count="2">
    <cacheField name="[Measures].[Sum of Qtd]" caption="Sum of Qtd" numFmtId="0" hierarchy="41"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1"/>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aquim Antonio" refreshedDate="45960.814356944444" backgroundQuery="1" createdVersion="8" refreshedVersion="8" minRefreshableVersion="3" recordCount="0" supportSubquery="1" supportAdvancedDrill="1" xr:uid="{3D2C5443-B4FD-4EAF-A04E-566286526F72}">
  <cacheSource type="external" connectionId="7"/>
  <cacheFields count="2">
    <cacheField name="[Measures].[Sum of Qtde 2]" caption="Sum of Qtde 2" numFmtId="0" hierarchy="43"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1"/>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oneField="1" hidden="1">
      <fieldsUsage count="1">
        <fieldUsage x="0"/>
      </fieldsUsage>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51.942558912036" backgroundQuery="1" createdVersion="3" refreshedVersion="8" minRefreshableVersion="3" recordCount="0" supportSubquery="1" supportAdvancedDrill="1" xr:uid="{B347FFAE-62A8-4DCB-A288-57C1EB14C246}">
  <cacheSource type="external" connectionId="7">
    <extLst>
      <ext xmlns:x14="http://schemas.microsoft.com/office/spreadsheetml/2009/9/main" uri="{F057638F-6D5F-4e77-A914-E7F072B9BCA8}">
        <x14:sourceConnection name="ThisWorkbookDataModel"/>
      </ext>
    </extLst>
  </cacheSource>
  <cacheFields count="0"/>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38876033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x v="0"/>
    <n v="1000"/>
    <m/>
  </r>
  <r>
    <x v="0"/>
    <x v="1"/>
    <x v="0"/>
    <n v="3500"/>
    <m/>
  </r>
  <r>
    <x v="1"/>
    <x v="2"/>
    <x v="0"/>
    <n v="2100"/>
    <m/>
  </r>
  <r>
    <x v="0"/>
    <x v="2"/>
    <x v="0"/>
    <n v="800"/>
    <m/>
  </r>
  <r>
    <x v="2"/>
    <x v="3"/>
    <x v="1"/>
    <n v="9000"/>
    <m/>
  </r>
  <r>
    <x v="0"/>
    <x v="3"/>
    <x v="1"/>
    <n v="13000"/>
    <m/>
  </r>
  <r>
    <x v="3"/>
    <x v="3"/>
    <x v="1"/>
    <n v="12000"/>
    <m/>
  </r>
  <r>
    <x v="4"/>
    <x v="3"/>
    <x v="1"/>
    <n v="13850"/>
    <m/>
  </r>
  <r>
    <x v="5"/>
    <x v="4"/>
    <x v="0"/>
    <n v="7000"/>
    <m/>
  </r>
  <r>
    <x v="6"/>
    <x v="5"/>
    <x v="0"/>
    <n v="17500"/>
    <m/>
  </r>
  <r>
    <x v="6"/>
    <x v="0"/>
    <x v="0"/>
    <n v="3000"/>
    <m/>
  </r>
  <r>
    <x v="7"/>
    <x v="3"/>
    <x v="1"/>
    <n v="13850"/>
    <m/>
  </r>
  <r>
    <x v="8"/>
    <x v="6"/>
    <x v="2"/>
    <m/>
    <m/>
  </r>
  <r>
    <x v="7"/>
    <x v="3"/>
    <x v="1"/>
    <n v="10000"/>
    <m/>
  </r>
  <r>
    <x v="9"/>
    <x v="3"/>
    <x v="1"/>
    <n v="14000"/>
    <m/>
  </r>
  <r>
    <x v="10"/>
    <x v="3"/>
    <x v="1"/>
    <n v="12500"/>
    <m/>
  </r>
  <r>
    <x v="10"/>
    <x v="3"/>
    <x v="1"/>
    <n v="12500"/>
    <m/>
  </r>
  <r>
    <x v="11"/>
    <x v="0"/>
    <x v="0"/>
    <n v="1000"/>
    <m/>
  </r>
  <r>
    <x v="11"/>
    <x v="7"/>
    <x v="0"/>
    <n v="5000"/>
    <m/>
  </r>
  <r>
    <x v="12"/>
    <x v="3"/>
    <x v="1"/>
    <n v="27700"/>
    <m/>
  </r>
  <r>
    <x v="8"/>
    <x v="6"/>
    <x v="2"/>
    <m/>
    <m/>
  </r>
  <r>
    <x v="8"/>
    <x v="6"/>
    <x v="2"/>
    <m/>
    <m/>
  </r>
  <r>
    <x v="8"/>
    <x v="6"/>
    <x v="2"/>
    <m/>
    <m/>
  </r>
  <r>
    <x v="8"/>
    <x v="6"/>
    <x v="2"/>
    <m/>
    <m/>
  </r>
  <r>
    <x v="8"/>
    <x v="6"/>
    <x v="2"/>
    <m/>
    <m/>
  </r>
  <r>
    <x v="8"/>
    <x v="6"/>
    <x v="2"/>
    <m/>
    <m/>
  </r>
  <r>
    <x v="8"/>
    <x v="6"/>
    <x v="2"/>
    <m/>
    <m/>
  </r>
  <r>
    <x v="8"/>
    <x v="6"/>
    <x v="2"/>
    <m/>
    <m/>
  </r>
  <r>
    <x v="8"/>
    <x v="6"/>
    <x v="2"/>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x v="0"/>
    <n v="1"/>
    <n v="9000"/>
    <n v="9000"/>
  </r>
  <r>
    <x v="1"/>
    <x v="1"/>
    <x v="1"/>
    <n v="1"/>
    <n v="13000"/>
    <n v="13000"/>
  </r>
  <r>
    <x v="2"/>
    <x v="0"/>
    <x v="1"/>
    <n v="1"/>
    <n v="12000"/>
    <n v="12000"/>
  </r>
  <r>
    <x v="3"/>
    <x v="1"/>
    <x v="0"/>
    <n v="1"/>
    <n v="13850"/>
    <n v="13850"/>
  </r>
  <r>
    <x v="4"/>
    <x v="1"/>
    <x v="2"/>
    <n v="1"/>
    <n v="13850"/>
    <n v="13850"/>
  </r>
  <r>
    <x v="4"/>
    <x v="1"/>
    <x v="3"/>
    <n v="1"/>
    <n v="10000"/>
    <n v="10000"/>
  </r>
  <r>
    <x v="5"/>
    <x v="1"/>
    <x v="3"/>
    <n v="1"/>
    <n v="14000"/>
    <n v="14000"/>
  </r>
  <r>
    <x v="6"/>
    <x v="0"/>
    <x v="2"/>
    <n v="1"/>
    <n v="12500"/>
    <n v="12500"/>
  </r>
  <r>
    <x v="6"/>
    <x v="0"/>
    <x v="3"/>
    <n v="1"/>
    <n v="12500"/>
    <n v="12500"/>
  </r>
  <r>
    <x v="7"/>
    <x v="1"/>
    <x v="1"/>
    <n v="2"/>
    <n v="13850"/>
    <n v="27700"/>
  </r>
  <r>
    <x v="8"/>
    <x v="2"/>
    <x v="4"/>
    <m/>
    <m/>
    <n v="0"/>
  </r>
  <r>
    <x v="8"/>
    <x v="2"/>
    <x v="4"/>
    <m/>
    <m/>
    <n v="0"/>
  </r>
  <r>
    <x v="8"/>
    <x v="2"/>
    <x v="4"/>
    <m/>
    <m/>
    <n v="0"/>
  </r>
  <r>
    <x v="8"/>
    <x v="2"/>
    <x v="4"/>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0F67E5-015B-43AE-A7F9-B2B4BD4B932F}" name="stockTotalComprado" cacheId="68" applyNumberFormats="0" applyBorderFormats="0" applyFontFormats="0" applyPatternFormats="0" applyAlignmentFormats="0" applyWidthHeightFormats="1" dataCaption="Values" tag="4d81cc22-4b93-42ef-bdab-898fec94b9db" updatedVersion="8" minRefreshableVersion="3" useAutoFormatting="1" itemPrintTitles="1" createdVersion="8" indent="0" outline="1" outlineData="1" multipleFieldFilters="0" chartFormat="2">
  <location ref="D16:D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mprado Stock"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tockDisponivel"/>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Tamanho]"/>
        <x15:activeTabTopLevelEntity name="[StockCresc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D7095A-933C-4A5B-BC6C-17A3EA6262C7}" name="PivotTable12" cacheId="56" applyNumberFormats="0" applyBorderFormats="0" applyFontFormats="0" applyPatternFormats="0" applyAlignmentFormats="0" applyWidthHeightFormats="1" dataCaption="Values" tag="0aa28729-63ad-4870-ac19-c8133a521c87" updatedVersion="8" minRefreshableVersion="3" useAutoFormatting="1" itemPrintTitles="1" createdVersion="8" indent="0" outline="1" outlineData="1" multipleFieldFilters="0">
  <location ref="A64:A65"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numFmtId="5"/>
  </dataFields>
  <formats count="1">
    <format dxfId="33">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098DF1-98A8-478B-8735-7C7B7A49C399}" name="PivotTable14" cacheId="62" applyNumberFormats="0" applyBorderFormats="0" applyFontFormats="0" applyPatternFormats="0" applyAlignmentFormats="0" applyWidthHeightFormats="1" dataCaption="Values" tag="bf781e2d-60ae-4f44-b2b5-281c753fee75" updatedVersion="8" minRefreshableVersion="3" useAutoFormatting="1" itemPrintTitles="1" createdVersion="8" indent="0" outline="1" outlineData="1" multipleFieldFilters="0">
  <location ref="A72:A73"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B21869-318D-4948-B2B8-D922A51D8198}" name="PivotTable13" cacheId="59" applyNumberFormats="0" applyBorderFormats="0" applyFontFormats="0" applyPatternFormats="0" applyAlignmentFormats="0" applyWidthHeightFormats="1" dataCaption="Values" tag="c60503fd-59b4-485a-9985-b73d41e0081f" updatedVersion="8" minRefreshableVersion="3" useAutoFormatting="1" itemPrintTitles="1" createdVersion="8" indent="0" outline="1" outlineData="1" multipleFieldFilters="0">
  <location ref="A68:A69"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numFmtId="10"/>
  </dataFields>
  <formats count="1">
    <format dxfId="34">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E60F463-4661-4EC2-B5F9-850CD2C1FE9F}" name="qtdeVendidas" cacheId="47" applyNumberFormats="0" applyBorderFormats="0" applyFontFormats="0" applyPatternFormats="0" applyAlignmentFormats="0" applyWidthHeightFormats="1" dataCaption="Values" tag="16771467-96fe-42ff-87f1-3311558c6e4a" updatedVersion="8" minRefreshableVersion="3" useAutoFormatting="1" itemPrintTitles="1" createdVersion="8" indent="0" outline="1" outlineData="1" multipleFieldFilters="0">
  <location ref="A34:D40" firstHeaderRow="1" firstDataRow="2"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5">
    <i>
      <x/>
    </i>
    <i>
      <x v="1"/>
    </i>
    <i>
      <x v="2"/>
    </i>
    <i>
      <x v="3"/>
    </i>
    <i t="grand">
      <x/>
    </i>
  </rowItems>
  <colFields count="1">
    <field x="3"/>
  </colFields>
  <colItems count="3">
    <i>
      <x/>
    </i>
    <i>
      <x v="1"/>
    </i>
    <i t="grand">
      <x/>
    </i>
  </colItems>
  <dataFields count="1">
    <dataField name="Sum of Qtde"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163F7E-3C87-4017-9C8B-B2A91AF61CC8}" name="PivotTable15" cacheId="65" applyNumberFormats="0" applyBorderFormats="0" applyFontFormats="0" applyPatternFormats="0" applyAlignmentFormats="0" applyWidthHeightFormats="1" dataCaption="Values" tag="69c6a69a-61ea-4436-906d-d392f5dccbbb" updatedVersion="8" minRefreshableVersion="3" useAutoFormatting="1" itemPrintTitles="1" createdVersion="8" indent="0" outline="1" outlineData="1" multipleFieldFilters="0" chartFormat="2">
  <location ref="D12:D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tockDisponivel"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tockDisponivel"/>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Tamanh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3C90E5C-7927-4E79-B23E-40B3519E4E61}" name="PivotTable10" cacheId="50" applyNumberFormats="0" applyBorderFormats="0" applyFontFormats="0" applyPatternFormats="0" applyAlignmentFormats="0" applyWidthHeightFormats="1" dataCaption="Values" tag="43bf4689-527b-4d66-b791-8acef9f21034" updatedVersion="8" minRefreshableVersion="3" useAutoFormatting="1" itemPrintTitles="1" createdVersion="8" indent="0" outline="1" outlineData="1" multipleFieldFilters="0">
  <location ref="A44:D50" firstHeaderRow="1" firstDataRow="2" firstDataCol="1"/>
  <pivotFields count="5">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3">
    <i>
      <x/>
    </i>
    <i>
      <x v="1"/>
    </i>
    <i t="grand">
      <x/>
    </i>
  </colItems>
  <dataFields count="1">
    <dataField fld="3" subtotal="count" baseField="0" baseItem="0" numFmtId="5"/>
  </dataFields>
  <formats count="1">
    <format dxfId="35">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17E4F6-1B0B-43E3-BAE5-1A55AA0EAC3F}" name="PivotTable6" cacheId="2" applyNumberFormats="0" applyBorderFormats="0" applyFontFormats="0" applyPatternFormats="0" applyAlignmentFormats="0" applyWidthHeightFormats="1" dataCaption="Values" tag="1ff0d854-a304-4617-a861-5538481a9fbf" updatedVersion="8" minRefreshableVersion="3" useAutoFormatting="1" itemPrintTitles="1" createdVersion="8" indent="0" outline="1" outlineData="1" multipleFieldFilters="0" chartFormat="5">
  <location ref="A21:B24"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xis="axisRow" allDrilled="1" subtotalTop="0" showAll="0" dataSourceSort="1" defaultSubtotal="0">
      <items count="2">
        <item x="0" e="0"/>
        <item x="1" e="0"/>
      </items>
    </pivotField>
  </pivotFields>
  <rowFields count="2">
    <field x="2"/>
    <field x="1"/>
  </rowFields>
  <rowItems count="3">
    <i>
      <x/>
    </i>
    <i>
      <x v="1"/>
    </i>
    <i t="grand">
      <x/>
    </i>
  </rowItems>
  <colItems count="1">
    <i/>
  </colItems>
  <dataFields count="1">
    <dataField name="Sum of Valor" fld="0" baseField="0" baseItem="0" numFmtId="5"/>
  </dataFields>
  <formats count="1">
    <format dxfId="3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7"/>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50CB9E0-708A-458E-80FC-5FBC4DFB5F48}" name="qtdeStock" cacheId="44" applyNumberFormats="0" applyBorderFormats="0" applyFontFormats="0" applyPatternFormats="0" applyAlignmentFormats="0" applyWidthHeightFormats="1" dataCaption="Values" tag="a8020c81-7817-48f4-a201-770db18e169a" updatedVersion="8" minRefreshableVersion="3" useAutoFormatting="1" itemPrintTitles="1" createdVersion="8" indent="0" outline="1" outlineData="1" multipleFieldFilters="0" chartFormat="2">
  <location ref="D1:J9" firstHeaderRow="1" firstDataRow="2"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7">
    <i>
      <x/>
    </i>
    <i>
      <x v="1"/>
    </i>
    <i>
      <x v="2"/>
    </i>
    <i>
      <x v="3"/>
    </i>
    <i>
      <x v="4"/>
    </i>
    <i>
      <x v="5"/>
    </i>
    <i t="grand">
      <x/>
    </i>
  </rowItems>
  <colFields count="1">
    <field x="2"/>
  </colFields>
  <colItems count="6">
    <i>
      <x/>
    </i>
    <i>
      <x v="1"/>
    </i>
    <i>
      <x v="2"/>
    </i>
    <i>
      <x v="3"/>
    </i>
    <i>
      <x v="4"/>
    </i>
    <i t="grand">
      <x/>
    </i>
  </colItems>
  <dataFields count="1">
    <dataField name="Sum of Qtd"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Tamanh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A4B457D-641E-49B1-92D7-4E4151E061E9}" name="PivotTable11" cacheId="53" applyNumberFormats="0" applyBorderFormats="0" applyFontFormats="0" applyPatternFormats="0" applyAlignmentFormats="0" applyWidthHeightFormats="1" dataCaption="Values" tag="d9a2839d-8ff6-4205-853b-b4cd947aa3f0" updatedVersion="8" minRefreshableVersion="3" useAutoFormatting="1" itemPrintTitles="1" createdVersion="8" indent="0" outline="1" outlineData="1" multipleFieldFilters="0">
  <location ref="A56:B59" firstHeaderRow="1" firstDataRow="1" firstDataCol="1"/>
  <pivotFields count="4">
    <pivotField allDrilled="1" subtotalTop="0" showAll="0" dataSourceSort="1" defaultSubtotal="0" defaultAttributeDrillState="1"/>
    <pivotField axis="axisRow" allDrilled="1" subtotalTop="0" showAll="0" dataSourceSort="1" defaultSubtotal="0">
      <items count="2">
        <item x="0" e="0"/>
        <item x="1" e="0"/>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fld="2" subtotal="count" baseField="0" baseItem="0" numFmtId="5"/>
  </dataFields>
  <formats count="1">
    <format dxfId="37">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StockCresc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348B3F-0636-4069-B315-3485B78DD619}" name="PivotTable5" cacheId="3" applyNumberFormats="0" applyBorderFormats="0" applyFontFormats="0" applyPatternFormats="0" applyAlignmentFormats="0" applyWidthHeightFormats="1" dataCaption="Values" tag="f01a49c0-08f8-45a1-9a91-31e49f4f1ca3" updatedVersion="8" minRefreshableVersion="3" useAutoFormatting="1" itemPrintTitles="1" createdVersion="8" indent="0" outline="1" outlineData="1" multipleFieldFilters="0" chartFormat="4">
  <location ref="A13:B16"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name="Sum of Valor" fld="0" baseField="0" baseItem="0" numFmtId="5"/>
  </dataFields>
  <formats count="1">
    <format dxfId="38">
      <pivotArea outline="0" collapsedLevelsAreSubtotals="1" fieldPosition="0"/>
    </format>
  </format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0"/>
          </reference>
        </references>
      </pivotArea>
    </chartFormat>
    <chartFormat chart="3" format="4">
      <pivotArea type="data" outline="0" fieldPosition="0">
        <references count="2">
          <reference field="4294967294" count="1" selected="0">
            <x v="0"/>
          </reference>
          <reference field="1" count="1" selected="0">
            <x v="1"/>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7361DFD-6293-479F-BF34-CA5215648BC7}" name="PivotTable4" cacheId="4" applyNumberFormats="0" applyBorderFormats="0" applyFontFormats="0" applyPatternFormats="0" applyAlignmentFormats="0" applyWidthHeightFormats="1" dataCaption="Values" tag="79092fde-7e44-4a51-9e0d-a5f263fcbc0b" updatedVersion="8" minRefreshableVersion="3" useAutoFormatting="1" itemPrintTitles="1" createdVersion="8" indent="0" outline="1" outlineData="1" multipleFieldFilters="0" chartFormat="8">
  <location ref="A1:B9"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Sum of Valor" fld="1" baseField="0" baseItem="0" numFmtId="5"/>
  </dataFields>
  <formats count="2">
    <format dxfId="40">
      <pivotArea collapsedLevelsAreSubtotals="1" fieldPosition="0">
        <references count="1">
          <reference field="0" count="1">
            <x v="5"/>
          </reference>
        </references>
      </pivotArea>
    </format>
    <format dxfId="39">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7676730-8592-4AB6-A8E2-CC5CB589E8C6}" name="Tabela Dinâmica4"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S12:S13" firstHeaderRow="1" firstDataRow="1" firstDataCol="0"/>
  <pivotFields count="8">
    <pivotField showAll="0">
      <items count="10">
        <item x="0"/>
        <item x="5"/>
        <item x="7"/>
        <item x="6"/>
        <item x="4"/>
        <item x="3"/>
        <item x="2"/>
        <item x="1"/>
        <item x="8"/>
        <item t="default"/>
      </items>
    </pivotField>
    <pivotField showAll="0">
      <items count="4">
        <item x="0"/>
        <item x="1"/>
        <item x="2"/>
        <item t="default"/>
      </items>
    </pivotField>
    <pivotField showAll="0">
      <items count="6">
        <item x="2"/>
        <item x="3"/>
        <item x="0"/>
        <item x="1"/>
        <item x="4"/>
        <item t="default"/>
      </items>
    </pivotField>
    <pivotField showAll="0"/>
    <pivotField showAll="0"/>
    <pivotField dataField="1"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oma de Total Venda"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D7456CD-CD5B-4513-A3B3-6D398DD04F30}" name="Tabela Dinâmica3"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3">
  <location ref="M11:N17" firstHeaderRow="1" firstDataRow="1" firstDataCol="1"/>
  <pivotFields count="8">
    <pivotField showAll="0">
      <items count="10">
        <item x="0"/>
        <item x="5"/>
        <item x="7"/>
        <item x="6"/>
        <item x="4"/>
        <item x="3"/>
        <item x="2"/>
        <item x="1"/>
        <item x="8"/>
        <item t="default"/>
      </items>
    </pivotField>
    <pivotField showAll="0">
      <items count="4">
        <item x="0"/>
        <item x="1"/>
        <item x="2"/>
        <item t="default"/>
      </items>
    </pivotField>
    <pivotField axis="axisRow" showAll="0">
      <items count="6">
        <item x="2"/>
        <item x="3"/>
        <item x="0"/>
        <item x="1"/>
        <item x="4"/>
        <item t="default"/>
      </items>
    </pivotField>
    <pivotField dataField="1"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6">
    <i>
      <x/>
    </i>
    <i>
      <x v="1"/>
    </i>
    <i>
      <x v="2"/>
    </i>
    <i>
      <x v="3"/>
    </i>
    <i>
      <x v="4"/>
    </i>
    <i t="grand">
      <x/>
    </i>
  </rowItems>
  <colItems count="1">
    <i/>
  </colItems>
  <dataFields count="1">
    <dataField name="Soma de Qtde" fld="3" baseField="0" baseItem="0"/>
  </dataFields>
  <chartFormats count="12">
    <chartFormat chart="8"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2" count="1" selected="0">
            <x v="0"/>
          </reference>
        </references>
      </pivotArea>
    </chartFormat>
    <chartFormat chart="10" format="9">
      <pivotArea type="data" outline="0" fieldPosition="0">
        <references count="2">
          <reference field="4294967294" count="1" selected="0">
            <x v="0"/>
          </reference>
          <reference field="2" count="1" selected="0">
            <x v="1"/>
          </reference>
        </references>
      </pivotArea>
    </chartFormat>
    <chartFormat chart="10" format="10">
      <pivotArea type="data" outline="0" fieldPosition="0">
        <references count="2">
          <reference field="4294967294" count="1" selected="0">
            <x v="0"/>
          </reference>
          <reference field="2" count="1" selected="0">
            <x v="2"/>
          </reference>
        </references>
      </pivotArea>
    </chartFormat>
    <chartFormat chart="10" format="11">
      <pivotArea type="data" outline="0" fieldPosition="0">
        <references count="2">
          <reference field="4294967294" count="1" selected="0">
            <x v="0"/>
          </reference>
          <reference field="2" count="1" selected="0">
            <x v="3"/>
          </reference>
        </references>
      </pivotArea>
    </chartFormat>
    <chartFormat chart="10" format="12">
      <pivotArea type="data" outline="0" fieldPosition="0">
        <references count="2">
          <reference field="4294967294" count="1" selected="0">
            <x v="0"/>
          </reference>
          <reference field="2" count="1" selected="0">
            <x v="4"/>
          </reference>
        </references>
      </pivotArea>
    </chartFormat>
    <chartFormat chart="8" format="1">
      <pivotArea type="data" outline="0" fieldPosition="0">
        <references count="2">
          <reference field="4294967294" count="1" selected="0">
            <x v="0"/>
          </reference>
          <reference field="2" count="1" selected="0">
            <x v="0"/>
          </reference>
        </references>
      </pivotArea>
    </chartFormat>
    <chartFormat chart="8" format="2">
      <pivotArea type="data" outline="0" fieldPosition="0">
        <references count="2">
          <reference field="4294967294" count="1" selected="0">
            <x v="0"/>
          </reference>
          <reference field="2" count="1" selected="0">
            <x v="1"/>
          </reference>
        </references>
      </pivotArea>
    </chartFormat>
    <chartFormat chart="8" format="3">
      <pivotArea type="data" outline="0" fieldPosition="0">
        <references count="2">
          <reference field="4294967294" count="1" selected="0">
            <x v="0"/>
          </reference>
          <reference field="2" count="1" selected="0">
            <x v="2"/>
          </reference>
        </references>
      </pivotArea>
    </chartFormat>
    <chartFormat chart="8" format="4">
      <pivotArea type="data" outline="0" fieldPosition="0">
        <references count="2">
          <reference field="4294967294" count="1" selected="0">
            <x v="0"/>
          </reference>
          <reference field="2" count="1" selected="0">
            <x v="3"/>
          </reference>
        </references>
      </pivotArea>
    </chartFormat>
    <chartFormat chart="8"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AF89525-537F-47E3-ADDC-02047CB0C59A}" name="Tabela Dinâ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2">
  <location ref="B5:C14" firstHeaderRow="1" firstDataRow="1" firstDataCol="1"/>
  <pivotFields count="7">
    <pivotField showAll="0">
      <items count="14">
        <item x="2"/>
        <item x="9"/>
        <item x="12"/>
        <item x="11"/>
        <item x="10"/>
        <item x="7"/>
        <item x="6"/>
        <item x="5"/>
        <item x="4"/>
        <item x="3"/>
        <item x="1"/>
        <item x="0"/>
        <item x="8"/>
        <item t="default"/>
      </items>
    </pivotField>
    <pivotField axis="axisRow" showAll="0" sortType="descending">
      <items count="9">
        <item x="2"/>
        <item x="7"/>
        <item x="0"/>
        <item x="4"/>
        <item x="1"/>
        <item x="5"/>
        <item x="3"/>
        <item x="6"/>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9">
    <i>
      <x v="6"/>
    </i>
    <i>
      <x v="5"/>
    </i>
    <i>
      <x v="3"/>
    </i>
    <i>
      <x v="2"/>
    </i>
    <i>
      <x v="1"/>
    </i>
    <i>
      <x v="4"/>
    </i>
    <i>
      <x/>
    </i>
    <i>
      <x v="7"/>
    </i>
    <i t="grand">
      <x/>
    </i>
  </rowItems>
  <colItems count="1">
    <i/>
  </colItems>
  <dataFields count="1">
    <dataField name="Soma de Valor" fld="3"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B7BFE20-9A7F-4546-AB5B-6F89079879C9}" name="Tabela Dinâmica5"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S16:S17" firstHeaderRow="1" firstDataRow="1" firstDataCol="0"/>
  <pivotFields count="8">
    <pivotField showAll="0">
      <items count="10">
        <item x="0"/>
        <item x="5"/>
        <item x="7"/>
        <item x="6"/>
        <item x="4"/>
        <item x="3"/>
        <item x="2"/>
        <item x="1"/>
        <item x="8"/>
        <item t="default"/>
      </items>
    </pivotField>
    <pivotField showAll="0">
      <items count="4">
        <item x="0"/>
        <item x="1"/>
        <item x="2"/>
        <item t="default"/>
      </items>
    </pivotField>
    <pivotField showAll="0">
      <items count="6">
        <item x="2"/>
        <item x="3"/>
        <item x="0"/>
        <item x="1"/>
        <item x="4"/>
        <item t="default"/>
      </items>
    </pivotField>
    <pivotField dataField="1" showAll="0"/>
    <pivotField showAll="0"/>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oma de Qtd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r" xr10:uid="{16F31528-2B38-4CE9-B72B-D87FB6DB547F}" sourceName="Cor">
  <pivotTables>
    <pivotTable tabId="13" name="Tabela Dinâmica3"/>
  </pivotTables>
  <data>
    <tabular pivotCacheId="1415574294">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amanho" xr10:uid="{CB55B8D9-E9A7-454E-AEAD-5278AB97A785}" sourceName="Tamanho">
  <pivotTables>
    <pivotTable tabId="13" name="Tabela Dinâmica3"/>
  </pivotTables>
  <data>
    <tabular pivotCacheId="1415574294">
      <items count="5">
        <i x="2" s="1"/>
        <i x="3" s="1"/>
        <i x="0" s="1"/>
        <i x="1"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eses__Data" xr10:uid="{2EF7772F-244A-4D19-86E3-DE50E3541A23}" sourceName="Meses (Data)">
  <pivotTables>
    <pivotTable tabId="13" name="Tabela Dinâmica3"/>
  </pivotTables>
  <data>
    <tabular pivotCacheId="1415574294">
      <items count="14">
        <i x="9" s="1"/>
        <i x="10" s="1"/>
        <i x="1" s="1" nd="1"/>
        <i x="2" s="1" nd="1"/>
        <i x="3" s="1" nd="1"/>
        <i x="4" s="1" nd="1"/>
        <i x="5" s="1" nd="1"/>
        <i x="6" s="1" nd="1"/>
        <i x="7" s="1" nd="1"/>
        <i x="8" s="1" nd="1"/>
        <i x="11" s="1" nd="1"/>
        <i x="12"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r" xr10:uid="{B334B1A4-82AE-4E5D-BF2E-959D7CD61A3C}" sourceName="[cor].[Cor]">
  <pivotTables>
    <pivotTable tabId="16" name="qtdeStock"/>
    <pivotTable tabId="16" name="qtdeVendidas"/>
    <pivotTable tabId="16" name="PivotTable10"/>
    <pivotTable tabId="16" name="PivotTable11"/>
    <pivotTable tabId="16" name="PivotTable12"/>
    <pivotTable tabId="16" name="PivotTable13"/>
    <pivotTable tabId="16" name="PivotTable14"/>
    <pivotTable tabId="16" name="PivotTable15"/>
    <pivotTable tabId="16" name="stockTotalComprado"/>
  </pivotTables>
  <data>
    <olap pivotCacheId="388760337">
      <levels count="2">
        <level uniqueName="[cor].[Cor].[(All)]" sourceCaption="(All)" count="0"/>
        <level uniqueName="[cor].[Cor].[Cor]" sourceCaption="Cor" count="5">
          <ranges>
            <range startItem="0">
              <i n="[cor].[Cor].&amp;[Azul]" c="Azul"/>
              <i n="[cor].[Cor].&amp;[Branca]" c="Branca"/>
              <i n="[cor].[Cor].&amp;[Castanha]" c="Castanha"/>
              <i n="[cor].[Cor].&amp;[Cinza]" c="Cinza"/>
              <i n="[cor].[Cor].&amp;[Preta]" c="Preta"/>
            </range>
          </ranges>
        </level>
      </levels>
      <selections count="1">
        <selection n="[cor].[C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r 3" xr10:uid="{2F2C5543-28A4-4F26-8902-A1DB1DAC8CEE}" cache="Slicer_Cor" caption="Cor" level="1" style="Estilo de Segmentação de Dados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r" xr10:uid="{F6BB854B-BBA0-488C-962B-17606CDE54F2}" cache="SegmentaçãoDeDados_Cor" caption="Cor" rowHeight="234950"/>
  <slicer name="Tamanho" xr10:uid="{0E253672-A0E3-4CA0-956F-08BF48612D5C}" cache="SegmentaçãoDeDados_Tamanho" caption="Tamanho" rowHeight="234950"/>
  <slicer name="Meses (Data)" xr10:uid="{8C616E53-1642-45CC-9FAD-D9F08BC9FF7A}" cache="SegmentaçãoDeDados_Meses__Data" caption="Meses (Dat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r 1" xr10:uid="{24432E54-09EA-4F47-B1C5-3EC9E3802673}" cache="SegmentaçãoDeDados_Cor" caption="Cor" style="Estilo de Segmentação de Dados 1" rowHeight="234950"/>
  <slicer name="Tamanho 1" xr10:uid="{4227F6A3-4E09-4546-B54A-CE8FFB39DB64}" cache="SegmentaçãoDeDados_Tamanho" caption="Tamanho" style="Estilo de Segmentação de Dados 1" rowHeight="234950"/>
  <slicer name="Meses (Data) 1" xr10:uid="{0BF31D1B-17FF-498C-8FAC-B86ED1D057E1}" cache="SegmentaçãoDeDados_Meses__Data" caption="Meses (Data)" style="Estilo de Segmentação de Dados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8177CB-4D08-4494-805C-77376BC51047}" name="Table4" displayName="Table4" ref="A1:B7" totalsRowShown="0">
  <autoFilter ref="A1:B7" xr:uid="{088177CB-4D08-4494-805C-77376BC51047}"/>
  <tableColumns count="2">
    <tableColumn id="1" xr3:uid="{C1DA8582-30A3-4F27-BA0D-212CF8FBA877}" name="Id"/>
    <tableColumn id="2" xr3:uid="{AD21B0C6-0CEC-4C36-B668-1BC362D1EBDD}" name="Cor"/>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96A78FE-4176-42BC-B3E7-FA1F629A857C}" name="Table5" displayName="Table5" ref="A10:B17" totalsRowShown="0">
  <autoFilter ref="A10:B17" xr:uid="{C96A78FE-4176-42BC-B3E7-FA1F629A857C}"/>
  <tableColumns count="2">
    <tableColumn id="1" xr3:uid="{B0F46FB8-13F4-4982-95D3-F0D4351F9063}" name="Id"/>
    <tableColumn id="2" xr3:uid="{B1C608A4-2538-47A7-AFB6-4B5D03655F33}" name="Tamnho"/>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F4C03D-BC2A-4A6D-92C8-D2E77F57C8CA}" name="Tabela2" displayName="Tabela2" ref="A1:F15" totalsRowShown="0" dataDxfId="32">
  <autoFilter ref="A1:F15" xr:uid="{CCF4C03D-BC2A-4A6D-92C8-D2E77F57C8CA}"/>
  <tableColumns count="6">
    <tableColumn id="1" xr3:uid="{7D6B8DC1-184F-4F39-A077-768BEEC1F771}" name="Data" dataDxfId="31"/>
    <tableColumn id="2" xr3:uid="{C49328D1-3304-4D12-BA10-AC986096B616}" name="Cor" dataDxfId="30"/>
    <tableColumn id="3" xr3:uid="{34480C68-70D6-4CC2-A0DC-35B59EDB4600}" name="Tamanho" dataDxfId="29"/>
    <tableColumn id="4" xr3:uid="{727BC970-B89E-4866-9461-8DE548CFCAF9}" name="Qtde" dataDxfId="28"/>
    <tableColumn id="5" xr3:uid="{9CF0674C-032D-40FF-BDDC-B000DFED2D21}" name="Preço Unitário" dataDxfId="27"/>
    <tableColumn id="6" xr3:uid="{F0C1EF18-BB2B-43DA-B165-D93AFC5CAA7F}" name="Total Venda" dataDxfId="26">
      <calculatedColumnFormula>D2*E2</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1DF0C1-4844-4467-B98C-F23A9F8F6049}" name="Table6" displayName="Table6" ref="A1:C15" totalsRowShown="0" headerRowDxfId="25" dataDxfId="24" tableBorderDxfId="23">
  <autoFilter ref="A1:C15" xr:uid="{911DF0C1-4844-4467-B98C-F23A9F8F6049}"/>
  <tableColumns count="3">
    <tableColumn id="1" xr3:uid="{1B161A55-A489-4F05-A57D-71D1D32DE6B5}" name="Cor" dataDxfId="22"/>
    <tableColumn id="2" xr3:uid="{106EC2D3-98E7-412F-80B0-2FC017FFDB12}" name="Tamanho" dataDxfId="21"/>
    <tableColumn id="3" xr3:uid="{13DBCE3D-91AC-47D9-97B7-4AB34820B2CA}" name="Qtde" dataDxfId="2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02FD83-F00A-4A54-B09F-49ED9C96B05E}" name="Table1" displayName="Table1" ref="A1:H7" totalsRowShown="0" headerRowDxfId="19" dataDxfId="18">
  <autoFilter ref="A1:H7" xr:uid="{DF02FD83-F00A-4A54-B09F-49ED9C96B05E}"/>
  <tableColumns count="8">
    <tableColumn id="1" xr3:uid="{60006DD7-DA45-45DC-8D21-597F9636A3E7}" name="Cor" dataDxfId="17"/>
    <tableColumn id="2" xr3:uid="{A8ABC038-B0C8-4AC1-950A-7C21ACD77EB5}" name="S" dataDxfId="16"/>
    <tableColumn id="3" xr3:uid="{31D9D2BD-B4BA-4336-9A65-3C39DA9B2B9E}" name="XL" dataDxfId="15"/>
    <tableColumn id="4" xr3:uid="{5EC7F611-FE30-4DE4-AF7D-5247DEF7A631}" name="L" dataDxfId="14"/>
    <tableColumn id="5" xr3:uid="{B562E46A-D658-407A-955B-97D42A933D6D}" name="M" dataDxfId="13"/>
    <tableColumn id="6" xr3:uid="{C94F3FBE-147C-41E5-9208-723DD6DAD891}" name="2XL" dataDxfId="12"/>
    <tableColumn id="7" xr3:uid="{472050A4-1B8B-4B63-947C-A5E4BE854098}" name="3XL" dataDxfId="11"/>
    <tableColumn id="8" xr3:uid="{B80F438B-7218-40A5-A150-9AFA0C8BFBCC}" name="Total Atual" dataDxfId="10">
      <calculatedColumnFormula>SUM(B2:G2)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B021C6-5F20-4ACB-93A2-E1A6E32D778A}" name="Tabela3" displayName="Tabela3" ref="A1:E30" totalsRowShown="0" dataDxfId="9">
  <autoFilter ref="A1:E30" xr:uid="{2CB021C6-5F20-4ACB-93A2-E1A6E32D778A}"/>
  <tableColumns count="5">
    <tableColumn id="1" xr3:uid="{95A393CD-CF8A-44E2-A7C3-A51F25F7F2BC}" name="Data" dataDxfId="8"/>
    <tableColumn id="2" xr3:uid="{76DC1C3C-5662-418E-B128-118CEDDBBA09}" name="Categoria" dataDxfId="7"/>
    <tableColumn id="3" xr3:uid="{4DEA21E9-DADE-4C37-9CA5-D345A428FFD8}" name="Caracter" dataDxfId="6"/>
    <tableColumn id="4" xr3:uid="{4DA5A8E2-DCCD-4669-8B7C-F5D869D15E96}" name="Valor" dataDxfId="5"/>
    <tableColumn id="5" xr3:uid="{91A5EC34-20AC-4428-87B5-3ECA1CCA5731}" name="Descrição" dataDxfId="4"/>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B050"/>
        </a:solidFill>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microsoft.com/office/2007/relationships/slicer" Target="../slicers/slicer2.xml"/><Relationship Id="rId5" Type="http://schemas.openxmlformats.org/officeDocument/2006/relationships/drawing" Target="../drawings/drawing8.xml"/><Relationship Id="rId4"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A3BBF-F5EB-4F84-820A-BF74B1C6C625}">
  <sheetPr codeName="Sheet1"/>
  <dimension ref="A1:B17"/>
  <sheetViews>
    <sheetView workbookViewId="0">
      <selection activeCell="E9" sqref="E9"/>
    </sheetView>
  </sheetViews>
  <sheetFormatPr defaultRowHeight="14.4" x14ac:dyDescent="0.3"/>
  <cols>
    <col min="2" max="2" width="9.88671875" customWidth="1"/>
  </cols>
  <sheetData>
    <row r="1" spans="1:2" x14ac:dyDescent="0.3">
      <c r="A1" s="9" t="s">
        <v>55</v>
      </c>
      <c r="B1" s="9" t="s">
        <v>0</v>
      </c>
    </row>
    <row r="2" spans="1:2" x14ac:dyDescent="0.3">
      <c r="A2">
        <v>1001</v>
      </c>
      <c r="B2" t="s">
        <v>1</v>
      </c>
    </row>
    <row r="3" spans="1:2" x14ac:dyDescent="0.3">
      <c r="A3">
        <v>1002</v>
      </c>
      <c r="B3" t="s">
        <v>2</v>
      </c>
    </row>
    <row r="4" spans="1:2" x14ac:dyDescent="0.3">
      <c r="A4">
        <v>1003</v>
      </c>
      <c r="B4" t="s">
        <v>3</v>
      </c>
    </row>
    <row r="5" spans="1:2" x14ac:dyDescent="0.3">
      <c r="A5">
        <v>1004</v>
      </c>
      <c r="B5" t="s">
        <v>4</v>
      </c>
    </row>
    <row r="6" spans="1:2" x14ac:dyDescent="0.3">
      <c r="A6">
        <v>1005</v>
      </c>
      <c r="B6" t="s">
        <v>5</v>
      </c>
    </row>
    <row r="7" spans="1:2" s="10" customFormat="1" ht="9.75" customHeight="1" x14ac:dyDescent="0.3"/>
    <row r="10" spans="1:2" x14ac:dyDescent="0.3">
      <c r="A10" s="9" t="s">
        <v>55</v>
      </c>
      <c r="B10" s="9" t="s">
        <v>6</v>
      </c>
    </row>
    <row r="11" spans="1:2" x14ac:dyDescent="0.3">
      <c r="A11">
        <v>2001</v>
      </c>
      <c r="B11" t="s">
        <v>7</v>
      </c>
    </row>
    <row r="12" spans="1:2" x14ac:dyDescent="0.3">
      <c r="A12">
        <v>2002</v>
      </c>
      <c r="B12" t="s">
        <v>8</v>
      </c>
    </row>
    <row r="13" spans="1:2" x14ac:dyDescent="0.3">
      <c r="A13">
        <v>2003</v>
      </c>
      <c r="B13" t="s">
        <v>9</v>
      </c>
    </row>
    <row r="14" spans="1:2" x14ac:dyDescent="0.3">
      <c r="A14">
        <v>2004</v>
      </c>
      <c r="B14" t="s">
        <v>10</v>
      </c>
    </row>
    <row r="15" spans="1:2" x14ac:dyDescent="0.3">
      <c r="A15">
        <v>2005</v>
      </c>
      <c r="B15" t="s">
        <v>11</v>
      </c>
    </row>
    <row r="16" spans="1:2" x14ac:dyDescent="0.3">
      <c r="A16">
        <v>2006</v>
      </c>
      <c r="B16" t="s">
        <v>12</v>
      </c>
    </row>
    <row r="17" s="10" customFormat="1" ht="9.75" customHeight="1" x14ac:dyDescent="0.3"/>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90B8E-52A4-4EE3-BB53-F8BD65BB4942}">
  <sheetPr codeName="Sheet2">
    <tabColor rgb="FF92D050"/>
  </sheetPr>
  <dimension ref="A1:F13"/>
  <sheetViews>
    <sheetView showGridLines="0" workbookViewId="0">
      <selection sqref="A1:B1"/>
    </sheetView>
  </sheetViews>
  <sheetFormatPr defaultRowHeight="14.4" x14ac:dyDescent="0.3"/>
  <cols>
    <col min="2" max="2" width="17.44140625" customWidth="1"/>
    <col min="3" max="3" width="21.88671875" customWidth="1"/>
    <col min="4" max="5" width="17.44140625" customWidth="1"/>
    <col min="6" max="6" width="18.5546875" customWidth="1"/>
  </cols>
  <sheetData>
    <row r="1" spans="1:6" ht="24" customHeight="1" x14ac:dyDescent="0.5">
      <c r="A1" s="40" t="s">
        <v>13</v>
      </c>
      <c r="D1" s="41" t="s">
        <v>14</v>
      </c>
      <c r="E1" s="42">
        <f>SUMIFS(Finanças!D:D,Finanças!C:C,"Entrada")-SUMIFS(Finanças!D:D,Finanças!C:C,"Saída")</f>
        <v>97500</v>
      </c>
    </row>
    <row r="2" spans="1:6" ht="24" customHeight="1" x14ac:dyDescent="0.5">
      <c r="A2" s="40"/>
    </row>
    <row r="3" spans="1:6" ht="24" customHeight="1" x14ac:dyDescent="0.5">
      <c r="A3" s="40"/>
    </row>
    <row r="4" spans="1:6" ht="32.25" customHeight="1" thickBot="1" x14ac:dyDescent="0.35">
      <c r="B4" s="18" t="s">
        <v>15</v>
      </c>
      <c r="C4" s="19" t="s">
        <v>0</v>
      </c>
      <c r="D4" s="19" t="s">
        <v>16</v>
      </c>
      <c r="E4" s="19" t="s">
        <v>17</v>
      </c>
      <c r="F4" s="19" t="s">
        <v>18</v>
      </c>
    </row>
    <row r="5" spans="1:6" ht="30.75" customHeight="1" thickTop="1" x14ac:dyDescent="0.3">
      <c r="B5" s="28"/>
      <c r="C5" s="29"/>
      <c r="D5" s="29"/>
      <c r="E5" s="29"/>
      <c r="F5" s="30"/>
    </row>
    <row r="6" spans="1:6" ht="12.75" customHeight="1" x14ac:dyDescent="0.3">
      <c r="B6" s="31"/>
      <c r="C6" s="31"/>
      <c r="D6" s="31"/>
      <c r="E6" s="31"/>
      <c r="F6" s="31"/>
    </row>
    <row r="7" spans="1:6" ht="12.75" customHeight="1" x14ac:dyDescent="0.3"/>
    <row r="8" spans="1:6" ht="30" customHeight="1" thickBot="1" x14ac:dyDescent="0.35">
      <c r="B8" s="20" t="s">
        <v>15</v>
      </c>
      <c r="C8" s="21" t="s">
        <v>19</v>
      </c>
      <c r="D8" s="21" t="s">
        <v>20</v>
      </c>
      <c r="E8" s="22" t="s">
        <v>21</v>
      </c>
      <c r="F8" s="43" t="s">
        <v>19</v>
      </c>
    </row>
    <row r="9" spans="1:6" ht="30.75" customHeight="1" thickTop="1" x14ac:dyDescent="0.3">
      <c r="B9" s="35"/>
      <c r="C9" s="26"/>
      <c r="D9" s="27"/>
      <c r="E9" s="36"/>
      <c r="F9" s="44"/>
    </row>
    <row r="12" spans="1:6" ht="27.75" customHeight="1" x14ac:dyDescent="0.3">
      <c r="B12" s="23" t="s">
        <v>0</v>
      </c>
      <c r="C12" s="24" t="s">
        <v>16</v>
      </c>
      <c r="D12" s="25" t="s">
        <v>17</v>
      </c>
    </row>
    <row r="13" spans="1:6" ht="28.5" customHeight="1" x14ac:dyDescent="0.3">
      <c r="B13" s="32"/>
      <c r="C13" s="33"/>
      <c r="D13" s="34"/>
    </row>
  </sheetData>
  <conditionalFormatting sqref="E1">
    <cfRule type="cellIs" dxfId="43" priority="1" operator="lessThan">
      <formula>0</formula>
    </cfRule>
    <cfRule type="cellIs" dxfId="42" priority="2" operator="greaterThan">
      <formula>0</formula>
    </cfRule>
  </conditionalFormatting>
  <dataValidations count="3">
    <dataValidation type="whole" allowBlank="1" showInputMessage="1" showErrorMessage="1" sqref="D13" xr:uid="{188B2BE7-98F1-4921-9F69-923A35913654}">
      <formula1>1</formula1>
      <formula2>10000</formula2>
    </dataValidation>
    <dataValidation type="whole" allowBlank="1" showInputMessage="1" showErrorMessage="1" sqref="E5" xr:uid="{C63CDE27-9B76-45E8-8BF8-C76EF7D5AFF7}">
      <formula1>1</formula1>
      <formula2>1000000</formula2>
    </dataValidation>
    <dataValidation type="list" allowBlank="1" showInputMessage="1" showErrorMessage="1" sqref="D9" xr:uid="{C3B72FFD-7BE6-4F7D-9657-B1BE4DE689B9}">
      <formula1>"Entrada,Saída"</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D4CA76C-5047-4F7B-8FAA-7C38520E8192}">
          <x14:formula1>
            <xm:f>ValDados!$B$2:$B$7</xm:f>
          </x14:formula1>
          <xm:sqref>B13 C5</xm:sqref>
        </x14:dataValidation>
        <x14:dataValidation type="list" allowBlank="1" showInputMessage="1" showErrorMessage="1" xr:uid="{8F03F80E-5B3F-4BCF-9F5D-2E00D8089556}">
          <x14:formula1>
            <xm:f>ValDados!$B$11:$B$17</xm:f>
          </x14:formula1>
          <xm:sqref>C13 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1E294-3291-4791-AD56-40F2B868C2D2}">
  <dimension ref="A1:J74"/>
  <sheetViews>
    <sheetView zoomScaleNormal="100" workbookViewId="0">
      <selection activeCell="E23" sqref="E23"/>
    </sheetView>
  </sheetViews>
  <sheetFormatPr defaultRowHeight="14.4" x14ac:dyDescent="0.3"/>
  <cols>
    <col min="1" max="1" width="15.21875" bestFit="1" customWidth="1"/>
    <col min="2" max="2" width="8.88671875" bestFit="1" customWidth="1"/>
    <col min="3" max="3" width="7.88671875" bestFit="1" customWidth="1"/>
    <col min="4" max="4" width="15.109375" bestFit="1" customWidth="1"/>
    <col min="5" max="5" width="18.5546875" bestFit="1" customWidth="1"/>
    <col min="6" max="6" width="6.77734375" bestFit="1" customWidth="1"/>
    <col min="7" max="7" width="8.77734375" bestFit="1" customWidth="1"/>
    <col min="8" max="9" width="5.44140625" bestFit="1" customWidth="1"/>
    <col min="10" max="10" width="10" bestFit="1" customWidth="1"/>
    <col min="11" max="12" width="10.77734375" bestFit="1" customWidth="1"/>
  </cols>
  <sheetData>
    <row r="1" spans="1:10" x14ac:dyDescent="0.3">
      <c r="A1" s="45" t="s">
        <v>41</v>
      </c>
      <c r="B1" t="s">
        <v>50</v>
      </c>
      <c r="D1" s="45" t="s">
        <v>53</v>
      </c>
      <c r="E1" s="45" t="s">
        <v>58</v>
      </c>
    </row>
    <row r="2" spans="1:10" x14ac:dyDescent="0.3">
      <c r="A2" s="46" t="s">
        <v>29</v>
      </c>
      <c r="B2" s="55">
        <v>2900</v>
      </c>
      <c r="D2" s="45" t="s">
        <v>36</v>
      </c>
      <c r="E2" t="s">
        <v>3</v>
      </c>
      <c r="F2" t="s">
        <v>2</v>
      </c>
      <c r="G2" t="s">
        <v>5</v>
      </c>
      <c r="H2" t="s">
        <v>4</v>
      </c>
      <c r="I2" t="s">
        <v>1</v>
      </c>
      <c r="J2" t="s">
        <v>24</v>
      </c>
    </row>
    <row r="3" spans="1:10" x14ac:dyDescent="0.3">
      <c r="A3" s="46" t="s">
        <v>35</v>
      </c>
      <c r="B3" s="55">
        <v>5000</v>
      </c>
      <c r="D3" s="46" t="s">
        <v>11</v>
      </c>
      <c r="E3" s="61">
        <v>0</v>
      </c>
      <c r="F3" s="61">
        <v>0</v>
      </c>
      <c r="G3" s="61">
        <v>0</v>
      </c>
      <c r="H3" s="61">
        <v>0</v>
      </c>
      <c r="I3" s="61">
        <v>5</v>
      </c>
      <c r="J3" s="61">
        <v>5</v>
      </c>
    </row>
    <row r="4" spans="1:10" x14ac:dyDescent="0.3">
      <c r="A4" s="46" t="s">
        <v>26</v>
      </c>
      <c r="B4" s="55">
        <v>5000</v>
      </c>
      <c r="D4" s="46" t="s">
        <v>12</v>
      </c>
      <c r="E4" s="61">
        <v>0</v>
      </c>
      <c r="F4" s="61">
        <v>0</v>
      </c>
      <c r="G4" s="61">
        <v>0</v>
      </c>
      <c r="H4" s="61">
        <v>0</v>
      </c>
      <c r="I4" s="61">
        <v>3</v>
      </c>
      <c r="J4" s="61">
        <v>3</v>
      </c>
    </row>
    <row r="5" spans="1:10" x14ac:dyDescent="0.3">
      <c r="A5" s="46" t="s">
        <v>47</v>
      </c>
      <c r="B5" s="55">
        <v>7000</v>
      </c>
      <c r="D5" s="46" t="s">
        <v>9</v>
      </c>
      <c r="E5" s="61">
        <v>0</v>
      </c>
      <c r="F5" s="61">
        <v>2</v>
      </c>
      <c r="G5" s="61">
        <v>0</v>
      </c>
      <c r="H5" s="61">
        <v>0</v>
      </c>
      <c r="I5" s="61">
        <v>2</v>
      </c>
      <c r="J5" s="61">
        <v>4</v>
      </c>
    </row>
    <row r="6" spans="1:10" x14ac:dyDescent="0.3">
      <c r="A6" s="46" t="s">
        <v>48</v>
      </c>
      <c r="B6" s="55">
        <v>3500</v>
      </c>
      <c r="D6" s="46" t="s">
        <v>8</v>
      </c>
      <c r="E6" s="61">
        <v>2</v>
      </c>
      <c r="F6" s="61">
        <v>5</v>
      </c>
      <c r="G6" s="61">
        <v>0</v>
      </c>
      <c r="H6" s="61">
        <v>0</v>
      </c>
      <c r="I6" s="61">
        <v>0</v>
      </c>
      <c r="J6" s="61">
        <v>7</v>
      </c>
    </row>
    <row r="7" spans="1:10" x14ac:dyDescent="0.3">
      <c r="A7" s="46" t="s">
        <v>33</v>
      </c>
      <c r="B7" s="55">
        <v>17500</v>
      </c>
      <c r="D7" s="46" t="s">
        <v>7</v>
      </c>
      <c r="E7" s="61">
        <v>0</v>
      </c>
      <c r="F7" s="61">
        <v>-1</v>
      </c>
      <c r="G7" s="61">
        <v>0</v>
      </c>
      <c r="H7" s="61">
        <v>0</v>
      </c>
      <c r="I7" s="61">
        <v>-1</v>
      </c>
      <c r="J7" s="61">
        <v>-2</v>
      </c>
    </row>
    <row r="8" spans="1:10" x14ac:dyDescent="0.3">
      <c r="A8" s="46" t="s">
        <v>49</v>
      </c>
      <c r="B8" s="55">
        <v>138400</v>
      </c>
      <c r="D8" s="46" t="s">
        <v>10</v>
      </c>
      <c r="E8" s="61">
        <v>2</v>
      </c>
      <c r="F8" s="61">
        <v>3</v>
      </c>
      <c r="G8" s="61">
        <v>0</v>
      </c>
      <c r="H8" s="61">
        <v>1</v>
      </c>
      <c r="I8" s="61">
        <v>4</v>
      </c>
      <c r="J8" s="61">
        <v>10</v>
      </c>
    </row>
    <row r="9" spans="1:10" x14ac:dyDescent="0.3">
      <c r="A9" s="46" t="s">
        <v>42</v>
      </c>
      <c r="B9" s="55">
        <v>179300</v>
      </c>
      <c r="D9" s="46" t="s">
        <v>24</v>
      </c>
      <c r="E9" s="61">
        <v>4</v>
      </c>
      <c r="F9" s="61">
        <v>9</v>
      </c>
      <c r="G9" s="61">
        <v>0</v>
      </c>
      <c r="H9" s="61">
        <v>1</v>
      </c>
      <c r="I9" s="61">
        <v>13</v>
      </c>
      <c r="J9" s="61">
        <v>27</v>
      </c>
    </row>
    <row r="12" spans="1:10" x14ac:dyDescent="0.3">
      <c r="D12" t="s">
        <v>56</v>
      </c>
    </row>
    <row r="13" spans="1:10" x14ac:dyDescent="0.3">
      <c r="A13" s="45" t="s">
        <v>41</v>
      </c>
      <c r="B13" t="s">
        <v>50</v>
      </c>
      <c r="D13" s="61">
        <v>27</v>
      </c>
    </row>
    <row r="14" spans="1:10" x14ac:dyDescent="0.3">
      <c r="A14" s="46" t="s">
        <v>31</v>
      </c>
      <c r="B14" s="55">
        <v>138400</v>
      </c>
      <c r="D14">
        <f>GETPIVOTDATA("[Measures].[Sum of Qtd]",$D$12)</f>
        <v>27</v>
      </c>
    </row>
    <row r="15" spans="1:10" x14ac:dyDescent="0.3">
      <c r="A15" s="46" t="s">
        <v>27</v>
      </c>
      <c r="B15" s="55">
        <v>40900</v>
      </c>
    </row>
    <row r="16" spans="1:10" x14ac:dyDescent="0.3">
      <c r="A16" s="46" t="s">
        <v>42</v>
      </c>
      <c r="B16" s="55">
        <v>179300</v>
      </c>
      <c r="D16" t="s">
        <v>57</v>
      </c>
    </row>
    <row r="17" spans="1:4" x14ac:dyDescent="0.3">
      <c r="D17" s="61">
        <v>38</v>
      </c>
    </row>
    <row r="18" spans="1:4" x14ac:dyDescent="0.3">
      <c r="D18">
        <f>GETPIVOTDATA("[Measures].[Sum of Qtde 2]",$D$16)</f>
        <v>38</v>
      </c>
    </row>
    <row r="21" spans="1:4" x14ac:dyDescent="0.3">
      <c r="A21" s="45" t="s">
        <v>41</v>
      </c>
      <c r="B21" t="s">
        <v>50</v>
      </c>
    </row>
    <row r="22" spans="1:4" x14ac:dyDescent="0.3">
      <c r="A22" s="46" t="s">
        <v>51</v>
      </c>
      <c r="B22" s="55">
        <v>126050</v>
      </c>
    </row>
    <row r="23" spans="1:4" x14ac:dyDescent="0.3">
      <c r="A23" s="46" t="s">
        <v>52</v>
      </c>
      <c r="B23" s="55">
        <v>53250</v>
      </c>
    </row>
    <row r="24" spans="1:4" x14ac:dyDescent="0.3">
      <c r="A24" s="46" t="s">
        <v>42</v>
      </c>
      <c r="B24" s="55">
        <v>179300</v>
      </c>
    </row>
    <row r="34" spans="1:4" x14ac:dyDescent="0.3">
      <c r="A34" s="45" t="s">
        <v>54</v>
      </c>
      <c r="B34" s="45" t="s">
        <v>58</v>
      </c>
    </row>
    <row r="35" spans="1:4" x14ac:dyDescent="0.3">
      <c r="A35" s="45" t="s">
        <v>36</v>
      </c>
      <c r="B35" t="s">
        <v>2</v>
      </c>
      <c r="C35" t="s">
        <v>1</v>
      </c>
      <c r="D35" t="s">
        <v>24</v>
      </c>
    </row>
    <row r="36" spans="1:4" x14ac:dyDescent="0.3">
      <c r="A36" s="46" t="s">
        <v>9</v>
      </c>
      <c r="B36" s="61">
        <v>1</v>
      </c>
      <c r="C36" s="61">
        <v>1</v>
      </c>
      <c r="D36" s="61">
        <v>2</v>
      </c>
    </row>
    <row r="37" spans="1:4" x14ac:dyDescent="0.3">
      <c r="A37" s="46" t="s">
        <v>8</v>
      </c>
      <c r="B37" s="61">
        <v>1</v>
      </c>
      <c r="C37" s="61">
        <v>2</v>
      </c>
      <c r="D37" s="61">
        <v>3</v>
      </c>
    </row>
    <row r="38" spans="1:4" x14ac:dyDescent="0.3">
      <c r="A38" s="46" t="s">
        <v>7</v>
      </c>
      <c r="B38" s="61">
        <v>1</v>
      </c>
      <c r="C38" s="61">
        <v>1</v>
      </c>
      <c r="D38" s="61">
        <v>2</v>
      </c>
    </row>
    <row r="39" spans="1:4" x14ac:dyDescent="0.3">
      <c r="A39" s="46" t="s">
        <v>10</v>
      </c>
      <c r="B39" s="61">
        <v>1</v>
      </c>
      <c r="C39" s="61">
        <v>3</v>
      </c>
      <c r="D39" s="61">
        <v>4</v>
      </c>
    </row>
    <row r="40" spans="1:4" x14ac:dyDescent="0.3">
      <c r="A40" s="46" t="s">
        <v>24</v>
      </c>
      <c r="B40" s="61">
        <v>4</v>
      </c>
      <c r="C40" s="61">
        <v>7</v>
      </c>
      <c r="D40" s="61">
        <v>11</v>
      </c>
    </row>
    <row r="44" spans="1:4" x14ac:dyDescent="0.3">
      <c r="A44" s="45" t="s">
        <v>43</v>
      </c>
      <c r="B44" s="45" t="s">
        <v>58</v>
      </c>
    </row>
    <row r="45" spans="1:4" x14ac:dyDescent="0.3">
      <c r="A45" s="45" t="s">
        <v>36</v>
      </c>
      <c r="B45" t="s">
        <v>2</v>
      </c>
      <c r="C45" t="s">
        <v>1</v>
      </c>
      <c r="D45" t="s">
        <v>24</v>
      </c>
    </row>
    <row r="46" spans="1:4" x14ac:dyDescent="0.3">
      <c r="A46" s="46" t="s">
        <v>9</v>
      </c>
      <c r="B46" s="55">
        <v>12500</v>
      </c>
      <c r="C46" s="55">
        <v>13850</v>
      </c>
      <c r="D46" s="55">
        <v>26350</v>
      </c>
    </row>
    <row r="47" spans="1:4" x14ac:dyDescent="0.3">
      <c r="A47" s="46" t="s">
        <v>8</v>
      </c>
      <c r="B47" s="55">
        <v>12500</v>
      </c>
      <c r="C47" s="55">
        <v>24000</v>
      </c>
      <c r="D47" s="55">
        <v>36500</v>
      </c>
    </row>
    <row r="48" spans="1:4" x14ac:dyDescent="0.3">
      <c r="A48" s="46" t="s">
        <v>7</v>
      </c>
      <c r="B48" s="55">
        <v>9000</v>
      </c>
      <c r="C48" s="55">
        <v>13850</v>
      </c>
      <c r="D48" s="55">
        <v>22850</v>
      </c>
    </row>
    <row r="49" spans="1:4" x14ac:dyDescent="0.3">
      <c r="A49" s="46" t="s">
        <v>10</v>
      </c>
      <c r="B49" s="55">
        <v>12000</v>
      </c>
      <c r="C49" s="55">
        <v>40700</v>
      </c>
      <c r="D49" s="55">
        <v>52700</v>
      </c>
    </row>
    <row r="50" spans="1:4" x14ac:dyDescent="0.3">
      <c r="A50" s="46" t="s">
        <v>24</v>
      </c>
      <c r="B50" s="55">
        <v>46000</v>
      </c>
      <c r="C50" s="55">
        <v>92400</v>
      </c>
      <c r="D50" s="55">
        <v>138400</v>
      </c>
    </row>
    <row r="56" spans="1:4" x14ac:dyDescent="0.3">
      <c r="A56" s="45" t="s">
        <v>36</v>
      </c>
      <c r="B56" t="s">
        <v>43</v>
      </c>
    </row>
    <row r="57" spans="1:4" x14ac:dyDescent="0.3">
      <c r="A57" s="46" t="s">
        <v>51</v>
      </c>
      <c r="B57" s="55">
        <v>99550</v>
      </c>
    </row>
    <row r="58" spans="1:4" x14ac:dyDescent="0.3">
      <c r="A58" s="46" t="s">
        <v>52</v>
      </c>
      <c r="B58" s="55">
        <v>38850</v>
      </c>
    </row>
    <row r="59" spans="1:4" x14ac:dyDescent="0.3">
      <c r="A59" s="46" t="s">
        <v>24</v>
      </c>
      <c r="B59" s="55">
        <v>138400</v>
      </c>
    </row>
    <row r="64" spans="1:4" x14ac:dyDescent="0.3">
      <c r="A64" t="s">
        <v>45</v>
      </c>
    </row>
    <row r="65" spans="1:1" x14ac:dyDescent="0.3">
      <c r="A65" s="55">
        <v>97500</v>
      </c>
    </row>
    <row r="66" spans="1:1" x14ac:dyDescent="0.3">
      <c r="A66" s="56">
        <f>GETPIVOTDATA("[Measures].[Lucro]",$A$64)</f>
        <v>97500</v>
      </c>
    </row>
    <row r="68" spans="1:1" x14ac:dyDescent="0.3">
      <c r="A68" t="s">
        <v>46</v>
      </c>
    </row>
    <row r="69" spans="1:1" x14ac:dyDescent="0.3">
      <c r="A69" s="49">
        <v>1.2955202312138729</v>
      </c>
    </row>
    <row r="70" spans="1:1" x14ac:dyDescent="0.3">
      <c r="A70" s="54">
        <f>GETPIVOTDATA("[Measures].[Margen de Lucro]",$A$68)</f>
        <v>1.2955202312138729</v>
      </c>
    </row>
    <row r="72" spans="1:1" x14ac:dyDescent="0.3">
      <c r="A72" t="s">
        <v>44</v>
      </c>
    </row>
    <row r="73" spans="1:1" x14ac:dyDescent="0.3">
      <c r="A73" s="48">
        <v>11</v>
      </c>
    </row>
    <row r="74" spans="1:1" x14ac:dyDescent="0.3">
      <c r="A74">
        <f>GETPIVOTDATA("[Measures].[qtdTotalVendida]",$A$72)</f>
        <v>11</v>
      </c>
    </row>
  </sheetData>
  <conditionalFormatting sqref="A70">
    <cfRule type="cellIs" dxfId="41" priority="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53F3A-DC3C-4BC7-976D-3CF1331BA474}">
  <dimension ref="A1:C5"/>
  <sheetViews>
    <sheetView showGridLines="0" zoomScaleNormal="100" zoomScaleSheetLayoutView="85" workbookViewId="0">
      <selection activeCell="W16" sqref="W16"/>
    </sheetView>
  </sheetViews>
  <sheetFormatPr defaultRowHeight="14.4" x14ac:dyDescent="0.3"/>
  <cols>
    <col min="1" max="2" width="8.88671875" style="58"/>
    <col min="3" max="3" width="11.33203125" style="58" customWidth="1"/>
    <col min="4" max="16384" width="8.88671875" style="58"/>
  </cols>
  <sheetData>
    <row r="1" spans="1:3" ht="28.2" x14ac:dyDescent="0.5">
      <c r="A1" s="57"/>
    </row>
    <row r="5" spans="1:3" x14ac:dyDescent="0.3">
      <c r="C5" s="59"/>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F15"/>
  <sheetViews>
    <sheetView showGridLines="0" workbookViewId="0"/>
  </sheetViews>
  <sheetFormatPr defaultRowHeight="14.4" x14ac:dyDescent="0.3"/>
  <cols>
    <col min="1" max="6" width="21" customWidth="1"/>
  </cols>
  <sheetData>
    <row r="1" spans="1:6" x14ac:dyDescent="0.3">
      <c r="A1" t="s">
        <v>15</v>
      </c>
      <c r="B1" t="s">
        <v>0</v>
      </c>
      <c r="C1" t="s">
        <v>16</v>
      </c>
      <c r="D1" t="s">
        <v>17</v>
      </c>
      <c r="E1" t="s">
        <v>18</v>
      </c>
      <c r="F1" t="s">
        <v>22</v>
      </c>
    </row>
    <row r="2" spans="1:6" ht="15.6" x14ac:dyDescent="0.3">
      <c r="A2" s="28">
        <v>45907</v>
      </c>
      <c r="B2" s="29" t="s">
        <v>2</v>
      </c>
      <c r="C2" s="29" t="s">
        <v>7</v>
      </c>
      <c r="D2" s="29">
        <v>1</v>
      </c>
      <c r="E2" s="30">
        <v>9000</v>
      </c>
      <c r="F2" s="30">
        <f t="shared" ref="F2:F8" si="0">D2*E2</f>
        <v>9000</v>
      </c>
    </row>
    <row r="3" spans="1:6" ht="15.6" x14ac:dyDescent="0.3">
      <c r="A3" s="28">
        <v>45938</v>
      </c>
      <c r="B3" s="29" t="s">
        <v>1</v>
      </c>
      <c r="C3" s="29" t="s">
        <v>10</v>
      </c>
      <c r="D3" s="29">
        <v>1</v>
      </c>
      <c r="E3" s="30">
        <v>13000</v>
      </c>
      <c r="F3" s="30">
        <f t="shared" si="0"/>
        <v>13000</v>
      </c>
    </row>
    <row r="4" spans="1:6" ht="15.6" x14ac:dyDescent="0.3">
      <c r="A4" s="28">
        <v>45936</v>
      </c>
      <c r="B4" s="29" t="s">
        <v>2</v>
      </c>
      <c r="C4" s="29" t="s">
        <v>10</v>
      </c>
      <c r="D4" s="29">
        <v>1</v>
      </c>
      <c r="E4" s="30">
        <v>12000</v>
      </c>
      <c r="F4" s="30">
        <f t="shared" si="0"/>
        <v>12000</v>
      </c>
    </row>
    <row r="5" spans="1:6" ht="15.6" x14ac:dyDescent="0.3">
      <c r="A5" s="28">
        <v>45933</v>
      </c>
      <c r="B5" s="29" t="s">
        <v>1</v>
      </c>
      <c r="C5" s="29" t="s">
        <v>7</v>
      </c>
      <c r="D5" s="29">
        <v>1</v>
      </c>
      <c r="E5" s="30">
        <v>13850</v>
      </c>
      <c r="F5" s="30">
        <f t="shared" si="0"/>
        <v>13850</v>
      </c>
    </row>
    <row r="6" spans="1:6" ht="15.6" x14ac:dyDescent="0.3">
      <c r="A6" s="28">
        <v>45927</v>
      </c>
      <c r="B6" s="29" t="s">
        <v>1</v>
      </c>
      <c r="C6" s="29" t="s">
        <v>9</v>
      </c>
      <c r="D6" s="29">
        <v>1</v>
      </c>
      <c r="E6" s="30">
        <v>13850</v>
      </c>
      <c r="F6" s="30">
        <f t="shared" si="0"/>
        <v>13850</v>
      </c>
    </row>
    <row r="7" spans="1:6" ht="15.6" x14ac:dyDescent="0.3">
      <c r="A7" s="28">
        <v>45927</v>
      </c>
      <c r="B7" s="29" t="s">
        <v>1</v>
      </c>
      <c r="C7" s="29" t="s">
        <v>8</v>
      </c>
      <c r="D7" s="29">
        <v>1</v>
      </c>
      <c r="E7" s="30">
        <v>10000</v>
      </c>
      <c r="F7" s="30">
        <f t="shared" si="0"/>
        <v>10000</v>
      </c>
    </row>
    <row r="8" spans="1:6" ht="15.6" x14ac:dyDescent="0.3">
      <c r="A8" s="28">
        <v>45919</v>
      </c>
      <c r="B8" s="29" t="s">
        <v>1</v>
      </c>
      <c r="C8" s="29" t="s">
        <v>8</v>
      </c>
      <c r="D8" s="29">
        <v>1</v>
      </c>
      <c r="E8" s="30">
        <v>14000</v>
      </c>
      <c r="F8" s="30">
        <f t="shared" si="0"/>
        <v>14000</v>
      </c>
    </row>
    <row r="9" spans="1:6" ht="15.6" x14ac:dyDescent="0.3">
      <c r="A9" s="28">
        <v>45924</v>
      </c>
      <c r="B9" s="29" t="s">
        <v>2</v>
      </c>
      <c r="C9" s="29" t="s">
        <v>9</v>
      </c>
      <c r="D9" s="29">
        <v>1</v>
      </c>
      <c r="E9" s="30">
        <v>12500</v>
      </c>
      <c r="F9" s="30">
        <f t="shared" ref="F9:F15" si="1">D9*E9</f>
        <v>12500</v>
      </c>
    </row>
    <row r="10" spans="1:6" ht="15.6" x14ac:dyDescent="0.3">
      <c r="A10" s="28">
        <v>45924</v>
      </c>
      <c r="B10" s="29" t="s">
        <v>2</v>
      </c>
      <c r="C10" s="29" t="s">
        <v>8</v>
      </c>
      <c r="D10" s="29">
        <v>1</v>
      </c>
      <c r="E10" s="30">
        <v>12500</v>
      </c>
      <c r="F10" s="30">
        <f t="shared" si="1"/>
        <v>12500</v>
      </c>
    </row>
    <row r="11" spans="1:6" ht="15.6" x14ac:dyDescent="0.3">
      <c r="A11" s="28">
        <v>45921</v>
      </c>
      <c r="B11" s="29" t="s">
        <v>1</v>
      </c>
      <c r="C11" s="29" t="s">
        <v>10</v>
      </c>
      <c r="D11" s="29">
        <v>2</v>
      </c>
      <c r="E11" s="30">
        <v>13850</v>
      </c>
      <c r="F11" s="30">
        <f t="shared" si="1"/>
        <v>27700</v>
      </c>
    </row>
    <row r="12" spans="1:6" ht="15.6" x14ac:dyDescent="0.3">
      <c r="A12" s="28"/>
      <c r="B12" s="29"/>
      <c r="C12" s="29"/>
      <c r="D12" s="29"/>
      <c r="E12" s="30"/>
      <c r="F12" s="30">
        <f t="shared" si="1"/>
        <v>0</v>
      </c>
    </row>
    <row r="13" spans="1:6" ht="15.6" x14ac:dyDescent="0.3">
      <c r="A13" s="28"/>
      <c r="B13" s="29"/>
      <c r="C13" s="29"/>
      <c r="D13" s="29"/>
      <c r="E13" s="30"/>
      <c r="F13" s="30">
        <f t="shared" si="1"/>
        <v>0</v>
      </c>
    </row>
    <row r="14" spans="1:6" ht="15.6" x14ac:dyDescent="0.3">
      <c r="A14" s="28"/>
      <c r="B14" s="29"/>
      <c r="C14" s="29"/>
      <c r="D14" s="29"/>
      <c r="E14" s="30"/>
      <c r="F14" s="30">
        <f t="shared" si="1"/>
        <v>0</v>
      </c>
    </row>
    <row r="15" spans="1:6" ht="15.6" x14ac:dyDescent="0.3">
      <c r="A15" s="28"/>
      <c r="B15" s="29"/>
      <c r="C15" s="29"/>
      <c r="D15" s="29"/>
      <c r="E15" s="30"/>
      <c r="F15" s="30">
        <f t="shared" si="1"/>
        <v>0</v>
      </c>
    </row>
  </sheetData>
  <dataValidations count="1">
    <dataValidation type="whole" allowBlank="1" showInputMessage="1" showErrorMessage="1" sqref="D2:D15" xr:uid="{46E61863-C66A-4843-B800-8320AF15B7B8}">
      <formula1>1</formula1>
      <formula2>1000000</formula2>
    </dataValidation>
  </dataValidations>
  <pageMargins left="0.75" right="0.75" top="1" bottom="1" header="0.5" footer="0.5"/>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3DFBE869-6AE1-4762-B591-F2951E0F4AA7}">
          <x14:formula1>
            <xm:f>ValDados!$B$11:$B$17</xm:f>
          </x14:formula1>
          <xm:sqref>C2:C15</xm:sqref>
        </x14:dataValidation>
        <x14:dataValidation type="list" allowBlank="1" showInputMessage="1" showErrorMessage="1" xr:uid="{BD29F00F-0422-4DBB-B9E8-6A7D888FA5C2}">
          <x14:formula1>
            <xm:f>ValDados!$B$2:$B$7</xm:f>
          </x14:formula1>
          <xm:sqref>B2:B15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A8B6-AECB-4EF3-A6AB-4B30E4078DB8}">
  <sheetPr codeName="Sheet3">
    <tabColor rgb="FFFF0000"/>
  </sheetPr>
  <dimension ref="A1:C20"/>
  <sheetViews>
    <sheetView workbookViewId="0"/>
  </sheetViews>
  <sheetFormatPr defaultRowHeight="14.4" x14ac:dyDescent="0.3"/>
  <cols>
    <col min="1" max="1" width="14.33203125" customWidth="1"/>
    <col min="2" max="2" width="18.44140625" customWidth="1"/>
    <col min="3" max="3" width="15" customWidth="1"/>
  </cols>
  <sheetData>
    <row r="1" spans="1:3" x14ac:dyDescent="0.3">
      <c r="A1" s="50" t="s">
        <v>0</v>
      </c>
      <c r="B1" s="50" t="s">
        <v>16</v>
      </c>
      <c r="C1" s="50" t="s">
        <v>17</v>
      </c>
    </row>
    <row r="2" spans="1:3" ht="15.6" x14ac:dyDescent="0.3">
      <c r="A2" s="33" t="s">
        <v>2</v>
      </c>
      <c r="B2" s="33" t="s">
        <v>8</v>
      </c>
      <c r="C2" s="33">
        <v>2</v>
      </c>
    </row>
    <row r="3" spans="1:3" ht="15.6" x14ac:dyDescent="0.3">
      <c r="A3" s="33" t="s">
        <v>2</v>
      </c>
      <c r="B3" s="33" t="s">
        <v>9</v>
      </c>
      <c r="C3" s="33">
        <v>2</v>
      </c>
    </row>
    <row r="4" spans="1:3" ht="15.6" x14ac:dyDescent="0.3">
      <c r="A4" s="33" t="s">
        <v>2</v>
      </c>
      <c r="B4" s="33" t="s">
        <v>8</v>
      </c>
      <c r="C4" s="33">
        <v>3</v>
      </c>
    </row>
    <row r="5" spans="1:3" ht="15.6" x14ac:dyDescent="0.3">
      <c r="A5" s="33" t="s">
        <v>4</v>
      </c>
      <c r="B5" s="33" t="s">
        <v>10</v>
      </c>
      <c r="C5" s="33">
        <v>1</v>
      </c>
    </row>
    <row r="6" spans="1:3" ht="15.6" x14ac:dyDescent="0.3">
      <c r="A6" s="33" t="s">
        <v>3</v>
      </c>
      <c r="B6" s="33" t="s">
        <v>8</v>
      </c>
      <c r="C6" s="33">
        <v>2</v>
      </c>
    </row>
    <row r="7" spans="1:3" ht="15.6" x14ac:dyDescent="0.3">
      <c r="A7" s="33" t="s">
        <v>3</v>
      </c>
      <c r="B7" s="33" t="s">
        <v>10</v>
      </c>
      <c r="C7" s="33">
        <v>2</v>
      </c>
    </row>
    <row r="8" spans="1:3" ht="15.6" x14ac:dyDescent="0.3">
      <c r="A8" s="33" t="s">
        <v>2</v>
      </c>
      <c r="B8" s="33" t="s">
        <v>8</v>
      </c>
      <c r="C8" s="33">
        <v>1</v>
      </c>
    </row>
    <row r="9" spans="1:3" ht="15.6" x14ac:dyDescent="0.3">
      <c r="A9" s="33" t="s">
        <v>2</v>
      </c>
      <c r="B9" s="33" t="s">
        <v>9</v>
      </c>
      <c r="C9" s="33">
        <v>1</v>
      </c>
    </row>
    <row r="10" spans="1:3" ht="15.6" x14ac:dyDescent="0.3">
      <c r="A10" s="33" t="s">
        <v>2</v>
      </c>
      <c r="B10" s="33" t="s">
        <v>10</v>
      </c>
      <c r="C10" s="33">
        <v>4</v>
      </c>
    </row>
    <row r="11" spans="1:3" ht="15.6" x14ac:dyDescent="0.3">
      <c r="A11" s="33" t="s">
        <v>1</v>
      </c>
      <c r="B11" s="33" t="s">
        <v>12</v>
      </c>
      <c r="C11" s="33">
        <v>3</v>
      </c>
    </row>
    <row r="12" spans="1:3" ht="15.6" x14ac:dyDescent="0.3">
      <c r="A12" s="33" t="s">
        <v>1</v>
      </c>
      <c r="B12" s="33" t="s">
        <v>11</v>
      </c>
      <c r="C12" s="33">
        <v>5</v>
      </c>
    </row>
    <row r="13" spans="1:3" ht="15.6" x14ac:dyDescent="0.3">
      <c r="A13" s="33" t="s">
        <v>1</v>
      </c>
      <c r="B13" s="33" t="s">
        <v>8</v>
      </c>
      <c r="C13" s="33">
        <v>2</v>
      </c>
    </row>
    <row r="14" spans="1:3" ht="15.6" x14ac:dyDescent="0.3">
      <c r="A14" s="33" t="s">
        <v>1</v>
      </c>
      <c r="B14" s="33" t="s">
        <v>9</v>
      </c>
      <c r="C14" s="33">
        <v>3</v>
      </c>
    </row>
    <row r="15" spans="1:3" ht="15.6" x14ac:dyDescent="0.3">
      <c r="A15" s="33" t="s">
        <v>1</v>
      </c>
      <c r="B15" s="33" t="s">
        <v>10</v>
      </c>
      <c r="C15" s="33">
        <v>7</v>
      </c>
    </row>
    <row r="16" spans="1:3" ht="15.6" x14ac:dyDescent="0.3">
      <c r="A16" s="51"/>
      <c r="B16" s="52"/>
      <c r="C16" s="53"/>
    </row>
    <row r="17" spans="1:3" x14ac:dyDescent="0.3">
      <c r="A17" s="11"/>
      <c r="B17" s="12"/>
      <c r="C17" s="13"/>
    </row>
    <row r="18" spans="1:3" x14ac:dyDescent="0.3">
      <c r="A18" s="11"/>
      <c r="B18" s="12"/>
      <c r="C18" s="13"/>
    </row>
    <row r="19" spans="1:3" x14ac:dyDescent="0.3">
      <c r="A19" s="11"/>
      <c r="B19" s="12"/>
      <c r="C19" s="13"/>
    </row>
    <row r="20" spans="1:3" x14ac:dyDescent="0.3">
      <c r="A20" s="11"/>
      <c r="B20" s="12"/>
      <c r="C20" s="13"/>
    </row>
  </sheetData>
  <dataValidations count="1">
    <dataValidation type="whole" allowBlank="1" showInputMessage="1" showErrorMessage="1" sqref="C2:C20" xr:uid="{98A47994-6E35-470C-AC63-3481B71D931D}">
      <formula1>1</formula1>
      <formula2>10000</formula2>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A1F48A-3322-4173-9613-B0DF041EED26}">
          <x14:formula1>
            <xm:f>ValDados!$B$11:$B$17</xm:f>
          </x14:formula1>
          <xm:sqref>B2:B20</xm:sqref>
        </x14:dataValidation>
        <x14:dataValidation type="list" allowBlank="1" showInputMessage="1" showErrorMessage="1" xr:uid="{3EFB3F94-9DC7-4EE8-A811-56B5221AF9E1}">
          <x14:formula1>
            <xm:f>ValDados!$B$2:$B$7</xm:f>
          </x14:formula1>
          <xm:sqref>A2:A20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sheetPr>
  <dimension ref="A1:H7"/>
  <sheetViews>
    <sheetView showGridLines="0" workbookViewId="0"/>
  </sheetViews>
  <sheetFormatPr defaultRowHeight="14.4" x14ac:dyDescent="0.3"/>
  <cols>
    <col min="1" max="2" width="12.5546875" customWidth="1"/>
    <col min="8" max="8" width="16.5546875" customWidth="1"/>
  </cols>
  <sheetData>
    <row r="1" spans="1:8" ht="15" thickBot="1" x14ac:dyDescent="0.35">
      <c r="A1" s="3" t="s">
        <v>0</v>
      </c>
      <c r="B1" s="3" t="s">
        <v>7</v>
      </c>
      <c r="C1" s="4" t="s">
        <v>10</v>
      </c>
      <c r="D1" s="4" t="s">
        <v>9</v>
      </c>
      <c r="E1" s="4" t="s">
        <v>8</v>
      </c>
      <c r="F1" s="4" t="s">
        <v>11</v>
      </c>
      <c r="G1" s="4" t="s">
        <v>12</v>
      </c>
      <c r="H1" s="4" t="s">
        <v>23</v>
      </c>
    </row>
    <row r="2" spans="1:8" ht="15.6" thickTop="1" thickBot="1" x14ac:dyDescent="0.35">
      <c r="A2" s="5" t="s">
        <v>1</v>
      </c>
      <c r="B2" s="6">
        <f>SUMIFS('Stock Dinâmico'!$C:$C,'Stock Dinâmico'!$A:$A,'Stock Atualizado'!$A2,'Stock Dinâmico'!$B:$B,'Stock Atualizado'!B$1)-SUMIFS(Vendas!$D:$D,Vendas!$B:$B,'Stock Atualizado'!$A2,Vendas!$C:$C,'Stock Atualizado'!B$1)</f>
        <v>-1</v>
      </c>
      <c r="C2" s="6">
        <f>SUMIFS('Stock Dinâmico'!$C:$C,'Stock Dinâmico'!$A:$A,'Stock Atualizado'!$A2,'Stock Dinâmico'!$B:$B,'Stock Atualizado'!C$1)-SUMIFS(Vendas!$D:$D,Vendas!$B:$B,'Stock Atualizado'!$A2,Vendas!$C:$C,'Stock Atualizado'!C$1)</f>
        <v>4</v>
      </c>
      <c r="D2" s="6">
        <f>SUMIFS('Stock Dinâmico'!$C:$C,'Stock Dinâmico'!$A:$A,'Stock Atualizado'!$A2,'Stock Dinâmico'!$B:$B,'Stock Atualizado'!D$1)-SUMIFS(Vendas!$D:$D,Vendas!$B:$B,'Stock Atualizado'!$A2,Vendas!$C:$C,'Stock Atualizado'!D$1)</f>
        <v>2</v>
      </c>
      <c r="E2" s="6">
        <f>SUMIFS('Stock Dinâmico'!$C:$C,'Stock Dinâmico'!$A:$A,'Stock Atualizado'!$A2,'Stock Dinâmico'!$B:$B,'Stock Atualizado'!E$1)-SUMIFS(Vendas!$D:$D,Vendas!$B:$B,'Stock Atualizado'!$A2,Vendas!$C:$C,'Stock Atualizado'!E$1)</f>
        <v>0</v>
      </c>
      <c r="F2" s="6">
        <f>SUMIFS('Stock Dinâmico'!$C:$C,'Stock Dinâmico'!$A:$A,'Stock Atualizado'!$A2,'Stock Dinâmico'!$B:$B,'Stock Atualizado'!F$1)-SUMIFS(Vendas!$D:$D,Vendas!$B:$B,'Stock Atualizado'!$A2,Vendas!$C:$C,'Stock Atualizado'!F$1)</f>
        <v>5</v>
      </c>
      <c r="G2" s="6">
        <f>SUMIFS('Stock Dinâmico'!$C:$C,'Stock Dinâmico'!$A:$A,'Stock Atualizado'!$A2,'Stock Dinâmico'!$B:$B,'Stock Atualizado'!G$1)-SUMIFS(Vendas!$D:$D,Vendas!$B:$B,'Stock Atualizado'!$A2,Vendas!$C:$C,'Stock Atualizado'!G$1)</f>
        <v>3</v>
      </c>
      <c r="H2" s="14">
        <f t="shared" ref="H2:H7" si="0">SUM(B2:G2)</f>
        <v>13</v>
      </c>
    </row>
    <row r="3" spans="1:8" ht="15.6" thickTop="1" thickBot="1" x14ac:dyDescent="0.35">
      <c r="A3" s="7" t="s">
        <v>2</v>
      </c>
      <c r="B3" s="6">
        <f>SUMIFS('Stock Dinâmico'!$C:$C,'Stock Dinâmico'!$A:$A,'Stock Atualizado'!$A3,'Stock Dinâmico'!$B:$B,'Stock Atualizado'!B$1)-SUMIFS(Vendas!$D:$D,Vendas!$B:$B,'Stock Atualizado'!$A3,Vendas!$C:$C,'Stock Atualizado'!B$1)</f>
        <v>-1</v>
      </c>
      <c r="C3" s="6">
        <f>SUMIFS('Stock Dinâmico'!$C:$C,'Stock Dinâmico'!$A:$A,'Stock Atualizado'!$A3,'Stock Dinâmico'!$B:$B,'Stock Atualizado'!C$1)-SUMIFS(Vendas!$D:$D,Vendas!$B:$B,'Stock Atualizado'!$A3,Vendas!$C:$C,'Stock Atualizado'!C$1)</f>
        <v>3</v>
      </c>
      <c r="D3" s="6">
        <f>SUMIFS('Stock Dinâmico'!$C:$C,'Stock Dinâmico'!$A:$A,'Stock Atualizado'!$A3,'Stock Dinâmico'!$B:$B,'Stock Atualizado'!D$1)-SUMIFS(Vendas!$D:$D,Vendas!$B:$B,'Stock Atualizado'!$A3,Vendas!$C:$C,'Stock Atualizado'!D$1)</f>
        <v>2</v>
      </c>
      <c r="E3" s="6">
        <f>SUMIFS('Stock Dinâmico'!$C:$C,'Stock Dinâmico'!$A:$A,'Stock Atualizado'!$A3,'Stock Dinâmico'!$B:$B,'Stock Atualizado'!E$1)-SUMIFS(Vendas!$D:$D,Vendas!$B:$B,'Stock Atualizado'!$A3,Vendas!$C:$C,'Stock Atualizado'!E$1)</f>
        <v>5</v>
      </c>
      <c r="F3" s="6">
        <f>SUMIFS('Stock Dinâmico'!$C:$C,'Stock Dinâmico'!$A:$A,'Stock Atualizado'!$A3,'Stock Dinâmico'!$B:$B,'Stock Atualizado'!F$1)-SUMIFS(Vendas!$D:$D,Vendas!$B:$B,'Stock Atualizado'!$A3,Vendas!$C:$C,'Stock Atualizado'!F$1)</f>
        <v>0</v>
      </c>
      <c r="G3" s="6">
        <f>SUMIFS('Stock Dinâmico'!$C:$C,'Stock Dinâmico'!$A:$A,'Stock Atualizado'!$A3,'Stock Dinâmico'!$B:$B,'Stock Atualizado'!G$1)-SUMIFS(Vendas!$D:$D,Vendas!$B:$B,'Stock Atualizado'!$A3,Vendas!$C:$C,'Stock Atualizado'!G$1)</f>
        <v>0</v>
      </c>
      <c r="H3" s="15">
        <f t="shared" si="0"/>
        <v>9</v>
      </c>
    </row>
    <row r="4" spans="1:8" ht="15.6" thickTop="1" thickBot="1" x14ac:dyDescent="0.35">
      <c r="A4" s="8" t="s">
        <v>3</v>
      </c>
      <c r="B4" s="6">
        <f>SUMIFS('Stock Dinâmico'!$C:$C,'Stock Dinâmico'!$A:$A,'Stock Atualizado'!$A4,'Stock Dinâmico'!$B:$B,'Stock Atualizado'!B$1)-SUMIFS(Vendas!$D:$D,Vendas!$B:$B,'Stock Atualizado'!$A4,Vendas!$C:$C,'Stock Atualizado'!B$1)</f>
        <v>0</v>
      </c>
      <c r="C4" s="6">
        <f>SUMIFS('Stock Dinâmico'!$C:$C,'Stock Dinâmico'!$A:$A,'Stock Atualizado'!$A4,'Stock Dinâmico'!$B:$B,'Stock Atualizado'!C$1)-SUMIFS(Vendas!$D:$D,Vendas!$B:$B,'Stock Atualizado'!$A4,Vendas!$C:$C,'Stock Atualizado'!C$1)</f>
        <v>2</v>
      </c>
      <c r="D4" s="6">
        <f>SUMIFS('Stock Dinâmico'!$C:$C,'Stock Dinâmico'!$A:$A,'Stock Atualizado'!$A4,'Stock Dinâmico'!$B:$B,'Stock Atualizado'!D$1)-SUMIFS(Vendas!$D:$D,Vendas!$B:$B,'Stock Atualizado'!$A4,Vendas!$C:$C,'Stock Atualizado'!D$1)</f>
        <v>0</v>
      </c>
      <c r="E4" s="6">
        <f>SUMIFS('Stock Dinâmico'!$C:$C,'Stock Dinâmico'!$A:$A,'Stock Atualizado'!$A4,'Stock Dinâmico'!$B:$B,'Stock Atualizado'!E$1)-SUMIFS(Vendas!$D:$D,Vendas!$B:$B,'Stock Atualizado'!$A4,Vendas!$C:$C,'Stock Atualizado'!E$1)</f>
        <v>2</v>
      </c>
      <c r="F4" s="6">
        <f>SUMIFS('Stock Dinâmico'!$C:$C,'Stock Dinâmico'!$A:$A,'Stock Atualizado'!$A4,'Stock Dinâmico'!$B:$B,'Stock Atualizado'!F$1)-SUMIFS(Vendas!$D:$D,Vendas!$B:$B,'Stock Atualizado'!$A4,Vendas!$C:$C,'Stock Atualizado'!F$1)</f>
        <v>0</v>
      </c>
      <c r="G4" s="6">
        <f>SUMIFS('Stock Dinâmico'!$C:$C,'Stock Dinâmico'!$A:$A,'Stock Atualizado'!$A4,'Stock Dinâmico'!$B:$B,'Stock Atualizado'!G$1)-SUMIFS(Vendas!$D:$D,Vendas!$B:$B,'Stock Atualizado'!$A4,Vendas!$C:$C,'Stock Atualizado'!G$1)</f>
        <v>0</v>
      </c>
      <c r="H4" s="16">
        <f t="shared" si="0"/>
        <v>4</v>
      </c>
    </row>
    <row r="5" spans="1:8" ht="15.6" thickTop="1" thickBot="1" x14ac:dyDescent="0.35">
      <c r="A5" s="8" t="s">
        <v>5</v>
      </c>
      <c r="B5" s="6">
        <f>SUMIFS('Stock Dinâmico'!$C:$C,'Stock Dinâmico'!$A:$A,'Stock Atualizado'!$A5,'Stock Dinâmico'!$B:$B,'Stock Atualizado'!B$1)-SUMIFS(Vendas!$D:$D,Vendas!$B:$B,'Stock Atualizado'!$A5,Vendas!$C:$C,'Stock Atualizado'!B$1)</f>
        <v>0</v>
      </c>
      <c r="C5" s="6">
        <f>SUMIFS('Stock Dinâmico'!$C:$C,'Stock Dinâmico'!$A:$A,'Stock Atualizado'!$A5,'Stock Dinâmico'!$B:$B,'Stock Atualizado'!C$1)-SUMIFS(Vendas!$D:$D,Vendas!$B:$B,'Stock Atualizado'!$A5,Vendas!$C:$C,'Stock Atualizado'!C$1)</f>
        <v>0</v>
      </c>
      <c r="D5" s="6">
        <f>SUMIFS('Stock Dinâmico'!$C:$C,'Stock Dinâmico'!$A:$A,'Stock Atualizado'!$A5,'Stock Dinâmico'!$B:$B,'Stock Atualizado'!D$1)-SUMIFS(Vendas!$D:$D,Vendas!$B:$B,'Stock Atualizado'!$A5,Vendas!$C:$C,'Stock Atualizado'!D$1)</f>
        <v>0</v>
      </c>
      <c r="E5" s="6">
        <f>SUMIFS('Stock Dinâmico'!$C:$C,'Stock Dinâmico'!$A:$A,'Stock Atualizado'!$A5,'Stock Dinâmico'!$B:$B,'Stock Atualizado'!E$1)-SUMIFS(Vendas!$D:$D,Vendas!$B:$B,'Stock Atualizado'!$A5,Vendas!$C:$C,'Stock Atualizado'!E$1)</f>
        <v>0</v>
      </c>
      <c r="F5" s="6">
        <f>SUMIFS('Stock Dinâmico'!$C:$C,'Stock Dinâmico'!$A:$A,'Stock Atualizado'!$A5,'Stock Dinâmico'!$B:$B,'Stock Atualizado'!F$1)-SUMIFS(Vendas!$D:$D,Vendas!$B:$B,'Stock Atualizado'!$A5,Vendas!$C:$C,'Stock Atualizado'!F$1)</f>
        <v>0</v>
      </c>
      <c r="G5" s="6">
        <f>SUMIFS('Stock Dinâmico'!$C:$C,'Stock Dinâmico'!$A:$A,'Stock Atualizado'!$A5,'Stock Dinâmico'!$B:$B,'Stock Atualizado'!G$1)-SUMIFS(Vendas!$D:$D,Vendas!$B:$B,'Stock Atualizado'!$A5,Vendas!$C:$C,'Stock Atualizado'!G$1)</f>
        <v>0</v>
      </c>
      <c r="H5" s="16">
        <f t="shared" si="0"/>
        <v>0</v>
      </c>
    </row>
    <row r="6" spans="1:8" ht="15" thickTop="1" x14ac:dyDescent="0.3">
      <c r="A6" s="7" t="s">
        <v>4</v>
      </c>
      <c r="B6" s="6">
        <f>SUMIFS('Stock Dinâmico'!$C:$C,'Stock Dinâmico'!$A:$A,'Stock Atualizado'!$A6,'Stock Dinâmico'!$B:$B,'Stock Atualizado'!B$1)-SUMIFS(Vendas!$D:$D,Vendas!$B:$B,'Stock Atualizado'!$A6,Vendas!$C:$C,'Stock Atualizado'!B$1)</f>
        <v>0</v>
      </c>
      <c r="C6" s="6">
        <f>SUMIFS('Stock Dinâmico'!$C:$C,'Stock Dinâmico'!$A:$A,'Stock Atualizado'!$A6,'Stock Dinâmico'!$B:$B,'Stock Atualizado'!C$1)-SUMIFS(Vendas!$D:$D,Vendas!$B:$B,'Stock Atualizado'!$A6,Vendas!$C:$C,'Stock Atualizado'!C$1)</f>
        <v>1</v>
      </c>
      <c r="D6" s="6">
        <f>SUMIFS('Stock Dinâmico'!$C:$C,'Stock Dinâmico'!$A:$A,'Stock Atualizado'!$A6,'Stock Dinâmico'!$B:$B,'Stock Atualizado'!D$1)-SUMIFS(Vendas!$D:$D,Vendas!$B:$B,'Stock Atualizado'!$A6,Vendas!$C:$C,'Stock Atualizado'!D$1)</f>
        <v>0</v>
      </c>
      <c r="E6" s="6">
        <f>SUMIFS('Stock Dinâmico'!$C:$C,'Stock Dinâmico'!$A:$A,'Stock Atualizado'!$A6,'Stock Dinâmico'!$B:$B,'Stock Atualizado'!E$1)-SUMIFS(Vendas!$D:$D,Vendas!$B:$B,'Stock Atualizado'!$A6,Vendas!$C:$C,'Stock Atualizado'!E$1)</f>
        <v>0</v>
      </c>
      <c r="F6" s="6">
        <f>SUMIFS('Stock Dinâmico'!$C:$C,'Stock Dinâmico'!$A:$A,'Stock Atualizado'!$A6,'Stock Dinâmico'!$B:$B,'Stock Atualizado'!F$1)-SUMIFS(Vendas!$D:$D,Vendas!$B:$B,'Stock Atualizado'!$A6,Vendas!$C:$C,'Stock Atualizado'!F$1)</f>
        <v>0</v>
      </c>
      <c r="G6" s="6">
        <f>SUMIFS('Stock Dinâmico'!$C:$C,'Stock Dinâmico'!$A:$A,'Stock Atualizado'!$A6,'Stock Dinâmico'!$B:$B,'Stock Atualizado'!G$1)-SUMIFS(Vendas!$D:$D,Vendas!$B:$B,'Stock Atualizado'!$A6,Vendas!$C:$C,'Stock Atualizado'!G$1)</f>
        <v>0</v>
      </c>
      <c r="H6" s="15">
        <f t="shared" si="0"/>
        <v>1</v>
      </c>
    </row>
    <row r="7" spans="1:8" x14ac:dyDescent="0.3">
      <c r="A7" s="8" t="s">
        <v>24</v>
      </c>
      <c r="B7" s="17">
        <f t="shared" ref="B7:G7" si="1">SUM(B2:B6)</f>
        <v>-2</v>
      </c>
      <c r="C7" s="17">
        <f t="shared" si="1"/>
        <v>10</v>
      </c>
      <c r="D7" s="17">
        <f t="shared" si="1"/>
        <v>4</v>
      </c>
      <c r="E7" s="17">
        <f t="shared" si="1"/>
        <v>7</v>
      </c>
      <c r="F7" s="17">
        <f t="shared" si="1"/>
        <v>5</v>
      </c>
      <c r="G7" s="17">
        <f t="shared" si="1"/>
        <v>3</v>
      </c>
      <c r="H7" s="16">
        <f t="shared" si="0"/>
        <v>27</v>
      </c>
    </row>
  </sheetData>
  <pageMargins left="0.75" right="0.75" top="1" bottom="1" header="0.5" footer="0.5"/>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E30"/>
  <sheetViews>
    <sheetView workbookViewId="0">
      <selection activeCell="C9" sqref="C9"/>
    </sheetView>
  </sheetViews>
  <sheetFormatPr defaultRowHeight="14.4" x14ac:dyDescent="0.3"/>
  <cols>
    <col min="1" max="1" width="13.33203125" customWidth="1"/>
    <col min="2" max="2" width="30.33203125" customWidth="1"/>
    <col min="3" max="3" width="20.88671875" customWidth="1"/>
    <col min="4" max="4" width="21.44140625" customWidth="1"/>
    <col min="5" max="5" width="12" customWidth="1"/>
  </cols>
  <sheetData>
    <row r="1" spans="1:5" x14ac:dyDescent="0.3">
      <c r="A1" t="s">
        <v>15</v>
      </c>
      <c r="B1" t="s">
        <v>25</v>
      </c>
      <c r="C1" t="s">
        <v>20</v>
      </c>
      <c r="D1" t="s">
        <v>21</v>
      </c>
      <c r="E1" t="s">
        <v>19</v>
      </c>
    </row>
    <row r="2" spans="1:5" ht="15.6" x14ac:dyDescent="0.3">
      <c r="A2" s="35">
        <v>45938</v>
      </c>
      <c r="B2" s="26" t="s">
        <v>26</v>
      </c>
      <c r="C2" s="27" t="s">
        <v>27</v>
      </c>
      <c r="D2" s="36">
        <v>1000</v>
      </c>
      <c r="E2" s="37"/>
    </row>
    <row r="3" spans="1:5" ht="15.6" x14ac:dyDescent="0.3">
      <c r="A3" s="35">
        <v>45938</v>
      </c>
      <c r="B3" s="26" t="s">
        <v>28</v>
      </c>
      <c r="C3" s="27" t="s">
        <v>27</v>
      </c>
      <c r="D3" s="36">
        <v>3500</v>
      </c>
      <c r="E3" s="37"/>
    </row>
    <row r="4" spans="1:5" ht="15.6" x14ac:dyDescent="0.3">
      <c r="A4" s="35">
        <v>45937</v>
      </c>
      <c r="B4" s="26" t="s">
        <v>29</v>
      </c>
      <c r="C4" s="27" t="s">
        <v>27</v>
      </c>
      <c r="D4" s="36">
        <v>2100</v>
      </c>
      <c r="E4" s="37"/>
    </row>
    <row r="5" spans="1:5" ht="15.6" x14ac:dyDescent="0.3">
      <c r="A5" s="35">
        <v>45938</v>
      </c>
      <c r="B5" s="26" t="s">
        <v>29</v>
      </c>
      <c r="C5" s="27" t="s">
        <v>27</v>
      </c>
      <c r="D5" s="36">
        <v>800</v>
      </c>
      <c r="E5" s="37"/>
    </row>
    <row r="6" spans="1:5" ht="15.6" x14ac:dyDescent="0.3">
      <c r="A6" s="1">
        <v>45907</v>
      </c>
      <c r="B6" t="s">
        <v>30</v>
      </c>
      <c r="C6" t="s">
        <v>31</v>
      </c>
      <c r="D6" s="36">
        <v>9000</v>
      </c>
      <c r="E6" s="37"/>
    </row>
    <row r="7" spans="1:5" ht="15.6" x14ac:dyDescent="0.3">
      <c r="A7" s="1">
        <v>45938</v>
      </c>
      <c r="B7" t="s">
        <v>30</v>
      </c>
      <c r="C7" t="s">
        <v>31</v>
      </c>
      <c r="D7" s="36">
        <v>13000</v>
      </c>
      <c r="E7" s="37"/>
    </row>
    <row r="8" spans="1:5" ht="15.6" x14ac:dyDescent="0.3">
      <c r="A8" s="1">
        <v>45936</v>
      </c>
      <c r="B8" t="s">
        <v>30</v>
      </c>
      <c r="C8" t="s">
        <v>31</v>
      </c>
      <c r="D8" s="36">
        <v>12000</v>
      </c>
      <c r="E8" s="37"/>
    </row>
    <row r="9" spans="1:5" ht="15.6" x14ac:dyDescent="0.3">
      <c r="A9" s="1">
        <v>45933</v>
      </c>
      <c r="B9" t="s">
        <v>30</v>
      </c>
      <c r="C9" t="s">
        <v>31</v>
      </c>
      <c r="D9" s="36">
        <v>13850</v>
      </c>
      <c r="E9" s="37"/>
    </row>
    <row r="10" spans="1:5" ht="15.6" x14ac:dyDescent="0.3">
      <c r="A10" s="35">
        <v>45931</v>
      </c>
      <c r="B10" s="26" t="s">
        <v>32</v>
      </c>
      <c r="C10" s="27" t="s">
        <v>27</v>
      </c>
      <c r="D10" s="36">
        <v>7000</v>
      </c>
      <c r="E10" s="37"/>
    </row>
    <row r="11" spans="1:5" ht="15.6" x14ac:dyDescent="0.3">
      <c r="A11" s="35">
        <v>45930</v>
      </c>
      <c r="B11" s="26" t="s">
        <v>33</v>
      </c>
      <c r="C11" s="27" t="s">
        <v>27</v>
      </c>
      <c r="D11" s="36">
        <v>17500</v>
      </c>
      <c r="E11" s="37"/>
    </row>
    <row r="12" spans="1:5" ht="15.6" x14ac:dyDescent="0.3">
      <c r="A12" s="35">
        <v>45930</v>
      </c>
      <c r="B12" s="26" t="s">
        <v>34</v>
      </c>
      <c r="C12" s="27" t="s">
        <v>27</v>
      </c>
      <c r="D12" s="36">
        <v>3000</v>
      </c>
      <c r="E12" s="37"/>
    </row>
    <row r="13" spans="1:5" ht="15.6" x14ac:dyDescent="0.3">
      <c r="A13" s="1">
        <v>45927</v>
      </c>
      <c r="B13" t="s">
        <v>30</v>
      </c>
      <c r="C13" t="s">
        <v>31</v>
      </c>
      <c r="D13" s="36">
        <v>13850</v>
      </c>
      <c r="E13" s="37"/>
    </row>
    <row r="14" spans="1:5" ht="15.6" x14ac:dyDescent="0.3">
      <c r="A14" s="35"/>
      <c r="B14" s="26"/>
      <c r="C14" s="27"/>
      <c r="D14" s="36"/>
      <c r="E14" s="37"/>
    </row>
    <row r="15" spans="1:5" ht="15.6" x14ac:dyDescent="0.3">
      <c r="A15" s="1">
        <v>45927</v>
      </c>
      <c r="B15" t="s">
        <v>30</v>
      </c>
      <c r="C15" t="s">
        <v>31</v>
      </c>
      <c r="D15" s="36">
        <v>10000</v>
      </c>
      <c r="E15" s="37"/>
    </row>
    <row r="16" spans="1:5" ht="15.6" x14ac:dyDescent="0.3">
      <c r="A16" s="1">
        <v>45919</v>
      </c>
      <c r="B16" t="s">
        <v>30</v>
      </c>
      <c r="C16" t="s">
        <v>31</v>
      </c>
      <c r="D16" s="36">
        <v>14000</v>
      </c>
      <c r="E16" s="37"/>
    </row>
    <row r="17" spans="1:5" ht="15.6" x14ac:dyDescent="0.3">
      <c r="A17" s="1">
        <v>45924</v>
      </c>
      <c r="B17" t="s">
        <v>30</v>
      </c>
      <c r="C17" t="s">
        <v>31</v>
      </c>
      <c r="D17" s="36">
        <v>12500</v>
      </c>
      <c r="E17" s="37"/>
    </row>
    <row r="18" spans="1:5" ht="15.6" x14ac:dyDescent="0.3">
      <c r="A18" s="1">
        <v>45924</v>
      </c>
      <c r="B18" t="s">
        <v>30</v>
      </c>
      <c r="C18" t="s">
        <v>31</v>
      </c>
      <c r="D18" s="36">
        <v>12500</v>
      </c>
      <c r="E18" s="37"/>
    </row>
    <row r="19" spans="1:5" ht="15.6" x14ac:dyDescent="0.3">
      <c r="A19" s="35">
        <v>45922</v>
      </c>
      <c r="B19" s="26" t="s">
        <v>34</v>
      </c>
      <c r="C19" s="27" t="s">
        <v>27</v>
      </c>
      <c r="D19" s="36">
        <v>1000</v>
      </c>
      <c r="E19" s="37"/>
    </row>
    <row r="20" spans="1:5" ht="15.6" x14ac:dyDescent="0.3">
      <c r="A20" s="35">
        <v>45922</v>
      </c>
      <c r="B20" s="26" t="s">
        <v>35</v>
      </c>
      <c r="C20" s="27" t="s">
        <v>27</v>
      </c>
      <c r="D20" s="36">
        <v>5000</v>
      </c>
      <c r="E20" s="37"/>
    </row>
    <row r="21" spans="1:5" ht="15.6" x14ac:dyDescent="0.3">
      <c r="A21" s="1">
        <v>45921</v>
      </c>
      <c r="B21" t="s">
        <v>30</v>
      </c>
      <c r="C21" t="s">
        <v>31</v>
      </c>
      <c r="D21" s="36">
        <v>27700</v>
      </c>
      <c r="E21" s="37"/>
    </row>
    <row r="22" spans="1:5" ht="15.6" x14ac:dyDescent="0.3">
      <c r="A22" s="1"/>
      <c r="D22" s="36"/>
      <c r="E22" s="37"/>
    </row>
    <row r="23" spans="1:5" ht="15.6" x14ac:dyDescent="0.3">
      <c r="A23" s="35"/>
      <c r="B23" s="26"/>
      <c r="C23" s="27"/>
      <c r="D23" s="36"/>
      <c r="E23" s="37"/>
    </row>
    <row r="24" spans="1:5" ht="15.6" x14ac:dyDescent="0.3">
      <c r="A24" s="1"/>
      <c r="D24" s="36"/>
      <c r="E24" s="37"/>
    </row>
    <row r="25" spans="1:5" ht="15.6" x14ac:dyDescent="0.3">
      <c r="A25" s="1"/>
      <c r="D25" s="36"/>
      <c r="E25" s="37"/>
    </row>
    <row r="26" spans="1:5" ht="15.6" x14ac:dyDescent="0.3">
      <c r="A26" s="35"/>
      <c r="B26" s="26"/>
      <c r="C26" s="27"/>
      <c r="D26" s="36"/>
      <c r="E26" s="37"/>
    </row>
    <row r="27" spans="1:5" ht="15.6" x14ac:dyDescent="0.3">
      <c r="A27" s="35"/>
      <c r="B27" s="26"/>
      <c r="C27" s="27"/>
      <c r="D27" s="36"/>
      <c r="E27" s="37"/>
    </row>
    <row r="28" spans="1:5" ht="15.6" x14ac:dyDescent="0.3">
      <c r="A28" s="37"/>
      <c r="B28" s="37"/>
      <c r="C28" s="37"/>
      <c r="D28" s="37"/>
      <c r="E28" s="37"/>
    </row>
    <row r="29" spans="1:5" ht="15.6" x14ac:dyDescent="0.3">
      <c r="A29" s="38"/>
      <c r="B29" s="37"/>
      <c r="C29" s="37"/>
      <c r="D29" s="39"/>
      <c r="E29" s="37"/>
    </row>
    <row r="30" spans="1:5" ht="15.6" x14ac:dyDescent="0.3">
      <c r="A30" s="38"/>
      <c r="B30" s="37"/>
      <c r="C30" s="37"/>
      <c r="D30" s="39"/>
      <c r="E30" s="37"/>
    </row>
  </sheetData>
  <dataValidations count="1">
    <dataValidation type="list" allowBlank="1" showInputMessage="1" showErrorMessage="1" sqref="C29:C30 C26:C27 C23 C19:C20 C14 C10:C12 C2:C5" xr:uid="{6067D721-DA39-4CF9-8497-A2217FD23EDB}">
      <formula1>"Entrada,Saída"</formula1>
    </dataValidation>
  </dataValidations>
  <pageMargins left="0.75" right="0.75" top="1" bottom="1" header="0.5" footer="0.5"/>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3574A-62F3-4EF5-9757-B95969902674}">
  <sheetPr codeName="Sheet7"/>
  <dimension ref="A1:I14"/>
  <sheetViews>
    <sheetView showGridLines="0" showRowColHeaders="0" tabSelected="1" zoomScale="95" zoomScaleNormal="130" workbookViewId="0">
      <selection sqref="A1:E2"/>
      <extLst>
        <ext xmlns:xlsdti="http://schemas.microsoft.com/office/spreadsheetml/2023/showDataTypeIcons" uri="{77bfe23e-c014-4d31-8a63-9c772dbf06b6}">
          <xlsdti:showDataTypeIcons visible="0"/>
        </ext>
      </extLst>
    </sheetView>
  </sheetViews>
  <sheetFormatPr defaultRowHeight="14.4" x14ac:dyDescent="0.3"/>
  <sheetData>
    <row r="1" spans="1:9" ht="14.4" customHeight="1" x14ac:dyDescent="0.3">
      <c r="A1" s="60"/>
      <c r="B1" s="60"/>
      <c r="C1" s="60"/>
      <c r="D1" s="60"/>
      <c r="E1" s="60"/>
    </row>
    <row r="2" spans="1:9" ht="14.4" customHeight="1" x14ac:dyDescent="0.3">
      <c r="A2" s="60"/>
      <c r="B2" s="60"/>
      <c r="C2" s="60"/>
      <c r="D2" s="60"/>
      <c r="E2" s="60"/>
    </row>
    <row r="7" spans="1:9" x14ac:dyDescent="0.3">
      <c r="C7" t="e" vm="1">
        <v>#VALUE!</v>
      </c>
    </row>
    <row r="10" spans="1:9" x14ac:dyDescent="0.3">
      <c r="C10" t="e" vm="1">
        <v>#VALUE!</v>
      </c>
    </row>
    <row r="14" spans="1:9" ht="25.8" x14ac:dyDescent="0.5">
      <c r="I14" s="2"/>
    </row>
  </sheetData>
  <mergeCells count="1">
    <mergeCell ref="A1:E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78800-E159-4D10-9D11-F23292CF011B}">
  <dimension ref="B5:S18"/>
  <sheetViews>
    <sheetView workbookViewId="0">
      <selection activeCell="F17" sqref="F17"/>
    </sheetView>
  </sheetViews>
  <sheetFormatPr defaultRowHeight="14.4" x14ac:dyDescent="0.3"/>
  <cols>
    <col min="2" max="2" width="17.33203125" bestFit="1" customWidth="1"/>
    <col min="3" max="3" width="13.33203125" bestFit="1" customWidth="1"/>
    <col min="6" max="6" width="17.33203125" bestFit="1" customWidth="1"/>
    <col min="7" max="7" width="13.33203125" bestFit="1" customWidth="1"/>
    <col min="13" max="13" width="17.33203125" bestFit="1" customWidth="1"/>
    <col min="14" max="14" width="12.88671875" bestFit="1" customWidth="1"/>
    <col min="15" max="15" width="2.6640625" bestFit="1" customWidth="1"/>
    <col min="16" max="16" width="2" bestFit="1" customWidth="1"/>
    <col min="17" max="17" width="3" bestFit="1" customWidth="1"/>
    <col min="18" max="18" width="11.33203125" bestFit="1" customWidth="1"/>
    <col min="19" max="19" width="19.109375" bestFit="1" customWidth="1"/>
    <col min="20" max="20" width="21" bestFit="1" customWidth="1"/>
    <col min="21" max="21" width="8.109375" customWidth="1"/>
    <col min="22" max="22" width="3" bestFit="1" customWidth="1"/>
    <col min="23" max="23" width="10.109375" bestFit="1" customWidth="1"/>
    <col min="24" max="24" width="13.33203125" bestFit="1" customWidth="1"/>
    <col min="25" max="25" width="16.109375" bestFit="1" customWidth="1"/>
    <col min="26" max="26" width="10" bestFit="1" customWidth="1"/>
  </cols>
  <sheetData>
    <row r="5" spans="2:19" x14ac:dyDescent="0.3">
      <c r="B5" s="45" t="s">
        <v>36</v>
      </c>
      <c r="C5" t="s">
        <v>37</v>
      </c>
    </row>
    <row r="6" spans="2:19" x14ac:dyDescent="0.3">
      <c r="B6" s="46" t="s">
        <v>30</v>
      </c>
      <c r="C6">
        <v>138400</v>
      </c>
    </row>
    <row r="7" spans="2:19" x14ac:dyDescent="0.3">
      <c r="B7" s="46" t="s">
        <v>33</v>
      </c>
      <c r="C7">
        <v>17500</v>
      </c>
    </row>
    <row r="8" spans="2:19" x14ac:dyDescent="0.3">
      <c r="B8" s="46" t="s">
        <v>32</v>
      </c>
      <c r="C8">
        <v>7000</v>
      </c>
    </row>
    <row r="9" spans="2:19" x14ac:dyDescent="0.3">
      <c r="B9" s="46" t="s">
        <v>26</v>
      </c>
      <c r="C9">
        <v>5000</v>
      </c>
    </row>
    <row r="10" spans="2:19" x14ac:dyDescent="0.3">
      <c r="B10" s="46" t="s">
        <v>35</v>
      </c>
      <c r="C10">
        <v>5000</v>
      </c>
    </row>
    <row r="11" spans="2:19" x14ac:dyDescent="0.3">
      <c r="B11" s="46" t="s">
        <v>28</v>
      </c>
      <c r="C11">
        <v>3500</v>
      </c>
      <c r="M11" s="45" t="s">
        <v>36</v>
      </c>
      <c r="N11" t="s">
        <v>38</v>
      </c>
    </row>
    <row r="12" spans="2:19" x14ac:dyDescent="0.3">
      <c r="B12" s="46" t="s">
        <v>29</v>
      </c>
      <c r="C12">
        <v>2900</v>
      </c>
      <c r="M12" s="46" t="s">
        <v>9</v>
      </c>
      <c r="N12">
        <v>2</v>
      </c>
      <c r="S12" t="s">
        <v>39</v>
      </c>
    </row>
    <row r="13" spans="2:19" x14ac:dyDescent="0.3">
      <c r="B13" s="46" t="s">
        <v>40</v>
      </c>
      <c r="M13" s="46" t="s">
        <v>8</v>
      </c>
      <c r="N13">
        <v>3</v>
      </c>
      <c r="S13" s="47">
        <v>138400</v>
      </c>
    </row>
    <row r="14" spans="2:19" x14ac:dyDescent="0.3">
      <c r="B14" s="46" t="s">
        <v>24</v>
      </c>
      <c r="C14">
        <v>179300</v>
      </c>
      <c r="M14" s="46" t="s">
        <v>7</v>
      </c>
      <c r="N14">
        <v>2</v>
      </c>
    </row>
    <row r="15" spans="2:19" x14ac:dyDescent="0.3">
      <c r="M15" s="46" t="s">
        <v>10</v>
      </c>
      <c r="N15">
        <v>4</v>
      </c>
    </row>
    <row r="16" spans="2:19" x14ac:dyDescent="0.3">
      <c r="M16" s="46" t="s">
        <v>40</v>
      </c>
      <c r="S16" t="s">
        <v>38</v>
      </c>
    </row>
    <row r="17" spans="13:19" x14ac:dyDescent="0.3">
      <c r="M17" s="46" t="s">
        <v>24</v>
      </c>
      <c r="N17">
        <v>11</v>
      </c>
      <c r="S17">
        <v>11</v>
      </c>
    </row>
    <row r="18" spans="13:19" x14ac:dyDescent="0.3">
      <c r="S18">
        <f>GETPIVOTDATA("Qtde",$S$16)</f>
        <v>11</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73DEC-16B8-42E0-B23A-EA1F67CACC2F}">
  <dimension ref="A1"/>
  <sheetViews>
    <sheetView showGridLines="0" zoomScale="63" zoomScaleNormal="107" workbookViewId="0">
      <selection activeCell="AI17" sqref="AI1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159EBF21-000E-4C68-84A3-1AF525441661}">
  <ds:schemaRefs/>
</ds:datastoreItem>
</file>

<file path=customXml/itemProps2.xml><?xml version="1.0" encoding="utf-8"?>
<ds:datastoreItem xmlns:ds="http://schemas.openxmlformats.org/officeDocument/2006/customXml" ds:itemID="{7C799DE4-3124-46A5-B15D-D861147B0887}">
  <ds:schemaRefs/>
</ds:datastoreItem>
</file>

<file path=customXml/itemProps3.xml><?xml version="1.0" encoding="utf-8"?>
<ds:datastoreItem xmlns:ds="http://schemas.openxmlformats.org/officeDocument/2006/customXml" ds:itemID="{6841F714-D92E-41A3-B62A-353CDE9FF085}">
  <ds:schemaRefs/>
</ds:datastoreItem>
</file>

<file path=customXml/itemProps4.xml><?xml version="1.0" encoding="utf-8"?>
<ds:datastoreItem xmlns:ds="http://schemas.openxmlformats.org/officeDocument/2006/customXml" ds:itemID="{7C632593-DA14-48FC-94FB-C7B604608C74}">
  <ds:schemaRefs/>
</ds:datastoreItem>
</file>

<file path=customXml/itemProps5.xml><?xml version="1.0" encoding="utf-8"?>
<ds:datastoreItem xmlns:ds="http://schemas.openxmlformats.org/officeDocument/2006/customXml" ds:itemID="{2789D9E9-9AE6-40DA-A720-96B14F12B2C6}">
  <ds:schemaRefs/>
</ds:datastoreItem>
</file>

<file path=customXml/itemProps6.xml><?xml version="1.0" encoding="utf-8"?>
<ds:datastoreItem xmlns:ds="http://schemas.openxmlformats.org/officeDocument/2006/customXml" ds:itemID="{495FCE8D-7A72-4ED6-9E3A-0FC47E732E01}">
  <ds:schemaRefs/>
</ds:datastoreItem>
</file>

<file path=customXml/itemProps7.xml><?xml version="1.0" encoding="utf-8"?>
<ds:datastoreItem xmlns:ds="http://schemas.openxmlformats.org/officeDocument/2006/customXml" ds:itemID="{F5D8AF58-2E60-44F2-B166-0D1C03DC3FC8}">
  <ds:schemaRefs/>
</ds:datastoreItem>
</file>

<file path=customXml/itemProps8.xml><?xml version="1.0" encoding="utf-8"?>
<ds:datastoreItem xmlns:ds="http://schemas.openxmlformats.org/officeDocument/2006/customXml" ds:itemID="{5D87583F-CF18-4DB4-BB7E-75654E5A229C}">
  <ds:schemaRefs/>
</ds:datastoreItem>
</file>

<file path=customXml/itemProps9.xml><?xml version="1.0" encoding="utf-8"?>
<ds:datastoreItem xmlns:ds="http://schemas.openxmlformats.org/officeDocument/2006/customXml" ds:itemID="{25411B95-A7E7-4051-83E6-F2EDE95A62CD}">
  <ds:schemaRefs/>
</ds:datastoreItem>
</file>

<file path=customXml/itemProps10.xml><?xml version="1.0" encoding="utf-8"?>
<ds:datastoreItem xmlns:ds="http://schemas.openxmlformats.org/officeDocument/2006/customXml" ds:itemID="{320B13E0-DB7B-454F-943B-F76F79E7EC14}">
  <ds:schemaRefs>
    <ds:schemaRef ds:uri="http://schemas.microsoft.com/DataMashup"/>
  </ds:schemaRefs>
</ds:datastoreItem>
</file>

<file path=customXml/itemProps11.xml><?xml version="1.0" encoding="utf-8"?>
<ds:datastoreItem xmlns:ds="http://schemas.openxmlformats.org/officeDocument/2006/customXml" ds:itemID="{53C06594-D456-40E0-93CF-98ABB91E2301}">
  <ds:schemaRefs/>
</ds:datastoreItem>
</file>

<file path=customXml/itemProps12.xml><?xml version="1.0" encoding="utf-8"?>
<ds:datastoreItem xmlns:ds="http://schemas.openxmlformats.org/officeDocument/2006/customXml" ds:itemID="{8013EC15-754A-4027-B15E-B5263FDB5DF0}">
  <ds:schemaRefs/>
</ds:datastoreItem>
</file>

<file path=customXml/itemProps13.xml><?xml version="1.0" encoding="utf-8"?>
<ds:datastoreItem xmlns:ds="http://schemas.openxmlformats.org/officeDocument/2006/customXml" ds:itemID="{E8FE74BE-3575-4E37-BD64-4D5C8A71460D}">
  <ds:schemaRefs/>
</ds:datastoreItem>
</file>

<file path=customXml/itemProps14.xml><?xml version="1.0" encoding="utf-8"?>
<ds:datastoreItem xmlns:ds="http://schemas.openxmlformats.org/officeDocument/2006/customXml" ds:itemID="{FFBB9854-6741-4950-BD0B-513AB387A6CB}">
  <ds:schemaRefs/>
</ds:datastoreItem>
</file>

<file path=customXml/itemProps15.xml><?xml version="1.0" encoding="utf-8"?>
<ds:datastoreItem xmlns:ds="http://schemas.openxmlformats.org/officeDocument/2006/customXml" ds:itemID="{599724EE-9BF3-4ED0-8BF1-AF83DF3750AE}">
  <ds:schemaRefs/>
</ds:datastoreItem>
</file>

<file path=customXml/itemProps16.xml><?xml version="1.0" encoding="utf-8"?>
<ds:datastoreItem xmlns:ds="http://schemas.openxmlformats.org/officeDocument/2006/customXml" ds:itemID="{DBF85B66-4F9E-4315-8C2E-1D71A590C5D6}">
  <ds:schemaRefs/>
</ds:datastoreItem>
</file>

<file path=customXml/itemProps17.xml><?xml version="1.0" encoding="utf-8"?>
<ds:datastoreItem xmlns:ds="http://schemas.openxmlformats.org/officeDocument/2006/customXml" ds:itemID="{A2E7C446-7CAF-4469-A1FC-82701C42BE98}">
  <ds:schemaRefs/>
</ds:datastoreItem>
</file>

<file path=customXml/itemProps18.xml><?xml version="1.0" encoding="utf-8"?>
<ds:datastoreItem xmlns:ds="http://schemas.openxmlformats.org/officeDocument/2006/customXml" ds:itemID="{E5FE7C3B-8FCE-4C2B-892D-C49CDE2A18E0}">
  <ds:schemaRefs/>
</ds:datastoreItem>
</file>

<file path=customXml/itemProps19.xml><?xml version="1.0" encoding="utf-8"?>
<ds:datastoreItem xmlns:ds="http://schemas.openxmlformats.org/officeDocument/2006/customXml" ds:itemID="{BDA4902B-14FB-4219-9CC0-45EFBD867F2F}">
  <ds:schemaRefs/>
</ds:datastoreItem>
</file>

<file path=customXml/itemProps20.xml><?xml version="1.0" encoding="utf-8"?>
<ds:datastoreItem xmlns:ds="http://schemas.openxmlformats.org/officeDocument/2006/customXml" ds:itemID="{B988CE33-6251-40BF-92ED-9A9ED8565346}">
  <ds:schemaRefs/>
</ds:datastoreItem>
</file>

<file path=customXml/itemProps21.xml><?xml version="1.0" encoding="utf-8"?>
<ds:datastoreItem xmlns:ds="http://schemas.openxmlformats.org/officeDocument/2006/customXml" ds:itemID="{C9391F62-1408-44D4-B74D-F5080E48BE29}">
  <ds:schemaRefs/>
</ds:datastoreItem>
</file>

<file path=customXml/itemProps22.xml><?xml version="1.0" encoding="utf-8"?>
<ds:datastoreItem xmlns:ds="http://schemas.openxmlformats.org/officeDocument/2006/customXml" ds:itemID="{20C0C545-410C-4CA9-89B4-4F10A5ACA75F}">
  <ds:schemaRefs/>
</ds:datastoreItem>
</file>

<file path=customXml/itemProps23.xml><?xml version="1.0" encoding="utf-8"?>
<ds:datastoreItem xmlns:ds="http://schemas.openxmlformats.org/officeDocument/2006/customXml" ds:itemID="{D41747F1-202D-41CE-8257-BC183020328F}">
  <ds:schemaRefs/>
</ds:datastoreItem>
</file>

<file path=customXml/itemProps24.xml><?xml version="1.0" encoding="utf-8"?>
<ds:datastoreItem xmlns:ds="http://schemas.openxmlformats.org/officeDocument/2006/customXml" ds:itemID="{85024BC6-2118-4FA7-95DF-C0AB1F7DCDFD}">
  <ds:schemaRefs/>
</ds:datastoreItem>
</file>

<file path=customXml/itemProps25.xml><?xml version="1.0" encoding="utf-8"?>
<ds:datastoreItem xmlns:ds="http://schemas.openxmlformats.org/officeDocument/2006/customXml" ds:itemID="{B6B3B007-9572-4AB8-8F17-DF7B907330D1}">
  <ds:schemaRefs/>
</ds:datastoreItem>
</file>

<file path=customXml/itemProps26.xml><?xml version="1.0" encoding="utf-8"?>
<ds:datastoreItem xmlns:ds="http://schemas.openxmlformats.org/officeDocument/2006/customXml" ds:itemID="{9092B60D-0E9B-4319-9915-61B6AD077E5B}">
  <ds:schemaRefs/>
</ds:datastoreItem>
</file>

<file path=customXml/itemProps27.xml><?xml version="1.0" encoding="utf-8"?>
<ds:datastoreItem xmlns:ds="http://schemas.openxmlformats.org/officeDocument/2006/customXml" ds:itemID="{A277CF1B-40B9-490B-B092-9C6276C557E3}">
  <ds:schemaRefs/>
</ds:datastoreItem>
</file>

<file path=customXml/itemProps28.xml><?xml version="1.0" encoding="utf-8"?>
<ds:datastoreItem xmlns:ds="http://schemas.openxmlformats.org/officeDocument/2006/customXml" ds:itemID="{36B26D08-EFF8-435D-A23B-1AA5E96FA2B2}">
  <ds:schemaRefs/>
</ds:datastoreItem>
</file>

<file path=customXml/itemProps29.xml><?xml version="1.0" encoding="utf-8"?>
<ds:datastoreItem xmlns:ds="http://schemas.openxmlformats.org/officeDocument/2006/customXml" ds:itemID="{D46EF117-9A6A-4907-A5BC-90FCCEF986D7}">
  <ds:schemaRefs/>
</ds:datastoreItem>
</file>

<file path=customXml/itemProps30.xml><?xml version="1.0" encoding="utf-8"?>
<ds:datastoreItem xmlns:ds="http://schemas.openxmlformats.org/officeDocument/2006/customXml" ds:itemID="{739904D2-C1AF-4B68-A9D9-A630B75E3463}">
  <ds:schemaRefs/>
</ds:datastoreItem>
</file>

<file path=customXml/itemProps31.xml><?xml version="1.0" encoding="utf-8"?>
<ds:datastoreItem xmlns:ds="http://schemas.openxmlformats.org/officeDocument/2006/customXml" ds:itemID="{CE228F50-74DA-472C-8EC0-A8C8EF6BBBBE}">
  <ds:schemaRefs/>
</ds:datastoreItem>
</file>

<file path=customXml/itemProps32.xml><?xml version="1.0" encoding="utf-8"?>
<ds:datastoreItem xmlns:ds="http://schemas.openxmlformats.org/officeDocument/2006/customXml" ds:itemID="{B1A860E7-C240-4048-96F7-AA61A4919E8B}">
  <ds:schemaRefs/>
</ds:datastoreItem>
</file>

<file path=customXml/itemProps33.xml><?xml version="1.0" encoding="utf-8"?>
<ds:datastoreItem xmlns:ds="http://schemas.openxmlformats.org/officeDocument/2006/customXml" ds:itemID="{3063C4C8-359D-409B-BEBB-3EDA2E62E4A9}">
  <ds:schemaRefs/>
</ds:datastoreItem>
</file>

<file path=customXml/itemProps34.xml><?xml version="1.0" encoding="utf-8"?>
<ds:datastoreItem xmlns:ds="http://schemas.openxmlformats.org/officeDocument/2006/customXml" ds:itemID="{1F534BEA-2BDF-436B-8290-6FB5EA14ED6C}">
  <ds:schemaRefs/>
</ds:datastoreItem>
</file>

<file path=customXml/itemProps35.xml><?xml version="1.0" encoding="utf-8"?>
<ds:datastoreItem xmlns:ds="http://schemas.openxmlformats.org/officeDocument/2006/customXml" ds:itemID="{5A8A3878-F80D-4341-8A0B-BE4C2CAB539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Folhas de Cálculo</vt:lpstr>
      </vt:variant>
      <vt:variant>
        <vt:i4>11</vt:i4>
      </vt:variant>
    </vt:vector>
  </HeadingPairs>
  <TitlesOfParts>
    <vt:vector size="11" baseType="lpstr">
      <vt:lpstr>ValDados</vt:lpstr>
      <vt:lpstr>Fluxo de Movimentos</vt:lpstr>
      <vt:lpstr>TD</vt:lpstr>
      <vt:lpstr>Dash</vt:lpstr>
      <vt:lpstr>Vendas</vt:lpstr>
      <vt:lpstr>Stock Dinâmico</vt:lpstr>
      <vt:lpstr>Stock Atualizado</vt:lpstr>
      <vt:lpstr>Finanças</vt:lpstr>
      <vt:lpstr>MENU</vt:lpstr>
      <vt:lpstr>BD</vt:lpstr>
      <vt:lpstr>DASHBOR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Joaquim António</cp:lastModifiedBy>
  <cp:revision/>
  <dcterms:created xsi:type="dcterms:W3CDTF">2025-09-20T21:19:41Z</dcterms:created>
  <dcterms:modified xsi:type="dcterms:W3CDTF">2025-10-30T19:48:23Z</dcterms:modified>
  <cp:category/>
  <cp:contentStatus/>
</cp:coreProperties>
</file>